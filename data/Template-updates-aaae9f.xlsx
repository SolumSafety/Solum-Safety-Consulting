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lumSafetyConsulting\Templates\"/>
    </mc:Choice>
  </mc:AlternateContent>
  <xr:revisionPtr revIDLastSave="0" documentId="13_ncr:1_{441DACC2-4171-413D-9543-11D50965811D}" xr6:coauthVersionLast="47" xr6:coauthVersionMax="47" xr10:uidLastSave="{00000000-0000-0000-0000-000000000000}"/>
  <bookViews>
    <workbookView xWindow="-110" yWindow="-110" windowWidth="22620" windowHeight="13500" firstSheet="1" activeTab="1" xr2:uid="{376A9ECD-98F5-40F2-8BE3-859679BEDB54}"/>
  </bookViews>
  <sheets>
    <sheet name="Bundles" sheetId="8" r:id="rId1"/>
    <sheet name="WHS" sheetId="1" r:id="rId2"/>
    <sheet name="Environmental" sheetId="2" state="hidden" r:id="rId3"/>
    <sheet name="Project Management WHS" sheetId="5" r:id="rId4"/>
    <sheet name="Generic Toolbox" sheetId="3" r:id="rId5"/>
    <sheet name="Leadership Toolbox" sheetId="6" r:id="rId6"/>
    <sheet name="Carpentry &amp; Building" sheetId="7" r:id="rId7"/>
    <sheet name="Construction" sheetId="9" r:id="rId8"/>
    <sheet name="Councils &amp; Government" sheetId="10" r:id="rId9"/>
    <sheet name="Ecological &amp; Environmental" sheetId="11" r:id="rId10"/>
    <sheet name="Farming Operation" sheetId="12" r:id="rId11"/>
    <sheet name="Lawn and Garden Maintenace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3" i="6" l="1"/>
  <c r="C11" i="8"/>
  <c r="C10" i="8"/>
  <c r="C9" i="8"/>
  <c r="C8" i="8"/>
  <c r="C7" i="8"/>
  <c r="C18" i="7"/>
  <c r="C69" i="3"/>
  <c r="C66" i="3"/>
  <c r="C67" i="3"/>
  <c r="C68" i="3"/>
  <c r="C62" i="3"/>
  <c r="C63" i="3"/>
  <c r="C64" i="3"/>
  <c r="C65" i="3"/>
  <c r="C5" i="8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2" i="3"/>
  <c r="C6" i="8"/>
  <c r="C4" i="8"/>
  <c r="C2" i="8"/>
  <c r="C21" i="8"/>
  <c r="C3" i="8"/>
</calcChain>
</file>

<file path=xl/sharedStrings.xml><?xml version="1.0" encoding="utf-8"?>
<sst xmlns="http://schemas.openxmlformats.org/spreadsheetml/2006/main" count="846" uniqueCount="586">
  <si>
    <t>Form</t>
  </si>
  <si>
    <t>SKU</t>
  </si>
  <si>
    <t>Upload as</t>
  </si>
  <si>
    <t>SSC-WHS-RA-001.html</t>
  </si>
  <si>
    <t>SSC-WHS-RA-001_WHS_Risk_Assessment.html</t>
  </si>
  <si>
    <t>SSC-WHS-PSY-001_Psychosocial_Hazard_Control_Plan.html</t>
  </si>
  <si>
    <t>SSC-WHS-TRN-001.html</t>
  </si>
  <si>
    <t>SSC-WHS-TRN-001_Training_Register.html</t>
  </si>
  <si>
    <t>SSC-WHS-IND-001.html</t>
  </si>
  <si>
    <t>SSC-WHS-IND-001_Induction_Checklist.html</t>
  </si>
  <si>
    <t>SSC-WHS-SIL-001.html</t>
  </si>
  <si>
    <t>SSC-WHS-SIL-001_Silica_Worker_Register.html</t>
  </si>
  <si>
    <t>SSC-WHS-LIB-001.html</t>
  </si>
  <si>
    <t>SSC-WHS-LIB-001_Lithium-Ion_Battery_Emergency_Response_Plan.html</t>
  </si>
  <si>
    <t>SSC-WHS-INC-002.html</t>
  </si>
  <si>
    <t>SSC-WHS-INC-002_Incident_Report_Form.html</t>
  </si>
  <si>
    <t>SSC-WHS-INJ-001.html</t>
  </si>
  <si>
    <t>SSC-WHS-INJ-001_Injury_Register.html</t>
  </si>
  <si>
    <t>SSC-ENV-EC-001_Energy_Consumption_Monitoring_Log.html</t>
  </si>
  <si>
    <t>SSC-ENV-EC-001.html</t>
  </si>
  <si>
    <t>SSC-ENV-RP-001_Recycling_Program_Tracking.html</t>
  </si>
  <si>
    <t>SSC-ENV-RP-001.html</t>
  </si>
  <si>
    <t>SSC-ENV-WC-001_Water_Conservation_Tracking.html</t>
  </si>
  <si>
    <t>SSC-ENV-WC-001.html</t>
  </si>
  <si>
    <t>SSC-ENV-AI-001_Environmental_Aspects_&amp;_Impacts_Register.html</t>
  </si>
  <si>
    <t>SSC-ENV-ER-001_Environmental_Emergency_Response_Plan.html</t>
  </si>
  <si>
    <t>SSC-ENV-OT-001_Environmental_Objectives_&amp;_Targets.html</t>
  </si>
  <si>
    <t>SSC-ENV-PL-001_Environmental_Policy_Template.html</t>
  </si>
  <si>
    <t>SSC-ENV-PP-001_Pollution_Prevention_Plan.html</t>
  </si>
  <si>
    <t>SSC-ENV-PR-001_Environmental_Permit_Register.html</t>
  </si>
  <si>
    <t>SSC-ENV-AI-001.html</t>
  </si>
  <si>
    <t>SSC-ENV-ER-001.html</t>
  </si>
  <si>
    <t>SSC-ENV-OT-001.html</t>
  </si>
  <si>
    <t>SSC-ENV-PL-001.html</t>
  </si>
  <si>
    <t>SSC-ENV-PP-001.html</t>
  </si>
  <si>
    <t>SSC-ENV-PR-001.html</t>
  </si>
  <si>
    <t>SSC-ENV-AQ-001_Air_Quality_&amp;_Emissions_Monitoring_Log.html</t>
  </si>
  <si>
    <t>SSC-ENV-DM-001_Dust_&amp;_Particulate_Monitoring_Log.html</t>
  </si>
  <si>
    <t>SSC-ENV-NM-001_Noise_Level_Monitoring_Record.html</t>
  </si>
  <si>
    <t>SSC-ENV-SG-001_Soil_&amp;_Groundwater_Testing_Log.html</t>
  </si>
  <si>
    <t>Sediment and erosion</t>
  </si>
  <si>
    <t>Weeds and Pests (proirity weeds)</t>
  </si>
  <si>
    <t>SSC-ENV-HW-001_Hazardous_Waste_Disposal_Record.html</t>
  </si>
  <si>
    <t>SSC-ENV-SK-001_Environmental_Spill_Kit_Inventory.html</t>
  </si>
  <si>
    <t>SSC-ENV-WM-001_Waste_Management_Register.html</t>
  </si>
  <si>
    <t>SSC-ENV-CC-001_Environmental_Compliance_Checklist.html</t>
  </si>
  <si>
    <t>SSC-ENV-HM-001_Hazardous_Materials_Inventory.html</t>
  </si>
  <si>
    <t>SSC-ENV-II-001_Environmental_Incident_Investigation_Form.html</t>
  </si>
  <si>
    <t>SSC-ENV-SR-001_Spill_Response_&amp;_Containment_Plan.html</t>
  </si>
  <si>
    <t>SSC-ENV-CA-001_Environmental_Corrective_Action_Register.html</t>
  </si>
  <si>
    <t>SSC-ENV-CC-002_Contractor_Environmental_Compliance.html</t>
  </si>
  <si>
    <t>SSC-ENV-EA-001_Environmental_Audit_Checklist_(Detailed).html</t>
  </si>
  <si>
    <t>SSC-ENV-PR-002_Environmental_Performance_Report.html</t>
  </si>
  <si>
    <t>SSC-ENV-TL-001_Environmental_Training_Log.html</t>
  </si>
  <si>
    <t>SSC-ENV-AQ-001.html</t>
  </si>
  <si>
    <t>SSC-ENV-HW-001.html</t>
  </si>
  <si>
    <t>SSC-ENV-SK-001.html</t>
  </si>
  <si>
    <t>SSC-ENV-WM-001.html</t>
  </si>
  <si>
    <t>SSC-ENV-CC-001.html</t>
  </si>
  <si>
    <t>SSC-ENV-HM-001.html</t>
  </si>
  <si>
    <t>SSC-ENV-II-001.html</t>
  </si>
  <si>
    <t>SSC-ENV-SR-001.html</t>
  </si>
  <si>
    <t>SSC-ENV-CA-001.html</t>
  </si>
  <si>
    <t>SSC-ENV-CC-002.html</t>
  </si>
  <si>
    <t>SSC-ENV-EA-001.html</t>
  </si>
  <si>
    <t>SSC-ENV-PR-002.html</t>
  </si>
  <si>
    <t>SSC-ENV-TL-001.html</t>
  </si>
  <si>
    <t>SSC-ENV-DM-001.html</t>
  </si>
  <si>
    <t>SSC-ENV-NM-001.html</t>
  </si>
  <si>
    <t>SSC-ENV-SG-001.html</t>
  </si>
  <si>
    <t>SSC-STD-CTR-001_Contractor_Management_Standard.html</t>
  </si>
  <si>
    <t>SSC-STD-CTR-002_Contractor_Pre-Qualification_Form.html</t>
  </si>
  <si>
    <t>SSC-STD-CTR-001.html</t>
  </si>
  <si>
    <t>SSC-STD-CTR-002.html</t>
  </si>
  <si>
    <t>SSC-WHS-PMC-007_Plant_&amp;_Machinery_Inspection.html</t>
  </si>
  <si>
    <t>BM-007_Quality_Management_Plan.html</t>
  </si>
  <si>
    <t>Requested updates</t>
  </si>
  <si>
    <t>SSC-WHS-SWMS-001.html</t>
  </si>
  <si>
    <t>SSC-WHS-JSA-001.html</t>
  </si>
  <si>
    <t>SSC-WHS-JSA-001_Job_Safety_Analysis.html</t>
  </si>
  <si>
    <t>SSC-WHS-SOP-001.html</t>
  </si>
  <si>
    <t>SSC-WHS-SOP-001_Standard_Operating_Procedure.html</t>
  </si>
  <si>
    <t>SSC-WHS-RA-Office-001.html</t>
  </si>
  <si>
    <t>SSC-WHS-RA-Office-001_Office_Risk_Assessment.html</t>
  </si>
  <si>
    <t>SSC-WHS-RA-PSY-001.html</t>
  </si>
  <si>
    <t>SSC-WHS-RA-PSY-001_Psychosocial_Risk_Assessment.html</t>
  </si>
  <si>
    <t>SSC-WHS-AUD-008.html</t>
  </si>
  <si>
    <t>SSC-WHS-PMC-007.html</t>
  </si>
  <si>
    <t>SSC-BM-BP-001.html</t>
  </si>
  <si>
    <t>SSC-BM-SWOT-001.html</t>
  </si>
  <si>
    <t>SSC-BM-BP-001_Business_Plan.html</t>
  </si>
  <si>
    <t>SSC-BM-SWOT-001_SWOT_Analysis.html</t>
  </si>
  <si>
    <t>SSC-BM-COMPR-001.html</t>
  </si>
  <si>
    <t>SSC-BM-COMPR-001_Company_Policy_Register.html</t>
  </si>
  <si>
    <t>SSC-BM-DCR-001.html</t>
  </si>
  <si>
    <t>SSC-BM-DCR-001_Document_Control_Register.html</t>
  </si>
  <si>
    <t>SSC-BM-CIR-001.html</t>
  </si>
  <si>
    <t>SSC-BM-CIR-001_Continuous_Improvement_Register.html</t>
  </si>
  <si>
    <t>SSC-BM-MRM-001.html</t>
  </si>
  <si>
    <t>SSC-BM-QMP-001.html</t>
  </si>
  <si>
    <t>SSC-BM-SVR-001.html</t>
  </si>
  <si>
    <t>SSC-PM-PC-001.html</t>
  </si>
  <si>
    <t>SSC-PM-SS-001.html</t>
  </si>
  <si>
    <t>SSC-BM-MRM-001_Management_Review_Minutes.html</t>
  </si>
  <si>
    <t>SSC-BM-SVR-001_Supplier_Vendor_Register.html</t>
  </si>
  <si>
    <t>SSC-PM-PC-001_Project_Charter.html</t>
  </si>
  <si>
    <t>SSC-PM-SS-001_Scope_Statement.html</t>
  </si>
  <si>
    <t>SSC-PM-PRR-001.html</t>
  </si>
  <si>
    <t>SSC-PM-PRR-001_Project_Risk_Register.html</t>
  </si>
  <si>
    <t>SSC-PM-PSM-001.html</t>
  </si>
  <si>
    <t>SSC-PM-PSM-001_Project_Schedule_Milestones.html</t>
  </si>
  <si>
    <t>SSC-PM-RP-001.html</t>
  </si>
  <si>
    <t>SSC-PM-RP-001_Resource_Plan.html</t>
  </si>
  <si>
    <t>SSC-PM-PSR-001.html</t>
  </si>
  <si>
    <t>SSC-PM-PSR-001_Project_Status_Report.html</t>
  </si>
  <si>
    <t>SSC-PM-CRF-001.html</t>
  </si>
  <si>
    <t>SSC-PM-CRF-001_Change_Request_Form.html</t>
  </si>
  <si>
    <t>SSC-PM-QCL-001.html</t>
  </si>
  <si>
    <t>SSC-PM-QCL-001_Quality_Checklist.html</t>
  </si>
  <si>
    <t>SSC-PM-LL-001.html</t>
  </si>
  <si>
    <t>SSC-PM-LL-001_Lessons_Learned.html</t>
  </si>
  <si>
    <t>SSC-PM-PCR-001.html</t>
  </si>
  <si>
    <t>SSC-PM-PCR-001_Project_Closure_Report.html</t>
  </si>
  <si>
    <t>SSC-FIN-QT-001.html</t>
  </si>
  <si>
    <t>SSC-FIN-QT-001_Quote_Estimate.html</t>
  </si>
  <si>
    <t>SSC-FIN-INV-001.html</t>
  </si>
  <si>
    <t>SSC-FIN-INV-001_Tax_Invoice.html</t>
  </si>
  <si>
    <t>SSC-FIN-POR-001.html</t>
  </si>
  <si>
    <t>SSC-FIN-PO-001_Purchase_Order_Request.html</t>
  </si>
  <si>
    <t>SSC-FIN-EC-001.html</t>
  </si>
  <si>
    <t>SSC-FIN-EC-001_Expense_Claim.html</t>
  </si>
  <si>
    <t>SSC-FIN-PBT-001.html</t>
  </si>
  <si>
    <t>SSC-FIN-PBT-001_Project_Budget_Tracker.html</t>
  </si>
  <si>
    <t>SSC-FIN-ARR-001.html</t>
  </si>
  <si>
    <t>SSC-FIN-ARR-001._Accounts_Receivable_Register.html</t>
  </si>
  <si>
    <t>SSC-FIN-APR-001.html</t>
  </si>
  <si>
    <t>SSC-FIN-APR-001_Accounts_Payable_Register.html</t>
  </si>
  <si>
    <t>SSC-FIN-PCL-001.html</t>
  </si>
  <si>
    <t>SSC-FIN-PCL-001_Petty_Cash_Log.html</t>
  </si>
  <si>
    <t>SSC-FIN-PLS-001.html</t>
  </si>
  <si>
    <t>SSC-FIN-PLS-001_Profit_Loss_Summary.html</t>
  </si>
  <si>
    <t>SSC-FIN-AST-001.html</t>
  </si>
  <si>
    <t>SSC-FIN-AST-001_Asset_Register.html</t>
  </si>
  <si>
    <t>SSC-HR-EDF-001.html</t>
  </si>
  <si>
    <t>SSC-HR-EDF-001_Employee_Details_Form.html</t>
  </si>
  <si>
    <t>SSC-HR-EOC-001.html</t>
  </si>
  <si>
    <t>SSC-HR-EOC-001_Employment_Offer_Contract.html</t>
  </si>
  <si>
    <t>SSC-HR-PD-001.html</t>
  </si>
  <si>
    <t>SSC-HR-PD-001_Position_Description.html</t>
  </si>
  <si>
    <t>SSC-HR-PFR-001.html</t>
  </si>
  <si>
    <t>SSC-HR-PFR-001_Performance_Review.html</t>
  </si>
  <si>
    <t>SSC-HR-LER-001.html</t>
  </si>
  <si>
    <t>SSC-HR-LER-001_Leave_Request_Form.html</t>
  </si>
  <si>
    <t>SSC-HR-TMS-001.html</t>
  </si>
  <si>
    <t>SSC-HR-TMS-001_Staff_Timesheet.html</t>
  </si>
  <si>
    <t>SSC-HR-SOBC-001.html</t>
  </si>
  <si>
    <t>SSC-HR-SOBC-001_Staff_Onboarding_Checklist.html</t>
  </si>
  <si>
    <t>SSC-HR-DWR-001.html</t>
  </si>
  <si>
    <t>SSC-HR-DWR-001_Disciplinary_Warning_Record.html</t>
  </si>
  <si>
    <t>SSC-HR-TDP-001.html</t>
  </si>
  <si>
    <t>SSC-HR-TDP-001_Training_Development_Plan.html</t>
  </si>
  <si>
    <t>SSC-HR-EIOB_001.html</t>
  </si>
  <si>
    <t>SSC-HR-EIOB_001_Exit_Interview_Offboarding.html</t>
  </si>
  <si>
    <t>SSC-CM-CIF-001.html</t>
  </si>
  <si>
    <t>SSC-CM-CIF-001_Client_Intake_Form.html</t>
  </si>
  <si>
    <t>SSC-CM-SA-001.html</t>
  </si>
  <si>
    <t>SSC-CM-SA-001_Service_Agreement.html</t>
  </si>
  <si>
    <t>SSC-CM-CCR-001.html</t>
  </si>
  <si>
    <t>SSC-CM-CCR-001_Client_Contact_Register.html</t>
  </si>
  <si>
    <t>SSC-CM-SWP-001.html</t>
  </si>
  <si>
    <t>SSC-CM-SWP-001_Scope_of_Works_Proposal.html</t>
  </si>
  <si>
    <t>SSC-CM-CFSS-001.html</t>
  </si>
  <si>
    <t>SSC-CM-CFSS-001_Client_Feedback_Satisfaction_Survey.html</t>
  </si>
  <si>
    <t>SSC-CM-CCOMR-001.html</t>
  </si>
  <si>
    <t>SSC-CM-CCOMR-001_Client_Complaint_Register.html</t>
  </si>
  <si>
    <t>SSC-CM-COBC-001.html</t>
  </si>
  <si>
    <t>SSC-CM-COBC-001_Client_Onboarding_Checklist.html</t>
  </si>
  <si>
    <t>SSC-WHS-POL-001_WHS_Policy_Template.html</t>
  </si>
  <si>
    <t>SSC-WHS-POL-001.html</t>
  </si>
  <si>
    <t>SSC-WHS-IMS-001.html</t>
  </si>
  <si>
    <t>SSC-WHS-IMS-001_WHSMS_Implementation_Plan.html</t>
  </si>
  <si>
    <t>SSC-WHS-RCA-INC-001.html</t>
  </si>
  <si>
    <t>SSC-WHS-RCA-INC-001_Incident_Investigation_Form.html</t>
  </si>
  <si>
    <t>SSC-WHS-RCA-5WHY-003.html</t>
  </si>
  <si>
    <t>SSC-WHS-RCA-5WHY-003_Why_Root_Cause_Analysis.html</t>
  </si>
  <si>
    <t>SSC-WHS-RCA-FISH-005.html</t>
  </si>
  <si>
    <t>SSC-WHS-RCA-FISH-005_Fishbone__Ishikawa__Analysis.html</t>
  </si>
  <si>
    <t>SSC-WHS-RCA-PEEPO-004.html</t>
  </si>
  <si>
    <t>SSC-WHS-RCA-PEEPO-004_PEEPO_Root_Cause_Analysis.html</t>
  </si>
  <si>
    <t>SSC-WHS-RCA-CAR-006.html</t>
  </si>
  <si>
    <t>SSC-WHS-RCA-CAR-006_Corrective_Action_Register.html</t>
  </si>
  <si>
    <t>SSC-ENV-ERR-001.html</t>
  </si>
  <si>
    <t>SSC-ENV-ERR-001_Environmental_Risk_Register.html</t>
  </si>
  <si>
    <t>SSC-ENV-EIR-002.html</t>
  </si>
  <si>
    <t>SSC-ENV-EIR-002_Environmental_Incident_Report.html</t>
  </si>
  <si>
    <t>SSC-ENV-EAC-003.html</t>
  </si>
  <si>
    <t>SSC-ENV-EAC-003_Environmental_Audit_Checklist.html</t>
  </si>
  <si>
    <t>SSC-WHS-HOC-001.html</t>
  </si>
  <si>
    <t>As-Built Documentation Register</t>
  </si>
  <si>
    <t>SSC-PM-ABD-001 .html</t>
  </si>
  <si>
    <t>SSC-WHS-ASB-001.html</t>
  </si>
  <si>
    <t>SSC-WHS-AUD-002.html</t>
  </si>
  <si>
    <t>SSC-WHS-BBV-001.html</t>
  </si>
  <si>
    <t>SSC-WHS-BUL-001.html</t>
  </si>
  <si>
    <t>SSC-WHS-RCA-CAR-001.html</t>
  </si>
  <si>
    <t>SSC-WHS-RCA-CAR-001_Corrective_Action_Tracking_Register.html</t>
  </si>
  <si>
    <t>SSC-WHS-CHEM-001.html</t>
  </si>
  <si>
    <t>SSC-WHS-CHEM-002.html</t>
  </si>
  <si>
    <t>SSC-WHS-COM-001_WHS_Committee_Minutes.html</t>
  </si>
  <si>
    <t>SSC-WHS-COM-001.html</t>
  </si>
  <si>
    <t>SSC-WHS-CON-001_WHS_Consultation_Record.html</t>
  </si>
  <si>
    <t>SSC-WHS-CON-001.html</t>
  </si>
  <si>
    <t>SSC-WHS-COR-001_Chain_of_Responsibility_Checklist.html</t>
  </si>
  <si>
    <t>SSC-WHS-COR-001.html</t>
  </si>
  <si>
    <t>SSC-WHS-CSM-001_Contractor_WHS_Prequalification_Questionnaire.html</t>
  </si>
  <si>
    <t>SSC-WHS-CSM-001.html</t>
  </si>
  <si>
    <t>SSC-WHS-CSM-002_Contractor_Site_WHS_Plan_Induction.html</t>
  </si>
  <si>
    <t>SSC-WHS-CSM-003_Contractor_Performance_Review.html</t>
  </si>
  <si>
    <t>SSC-WHS-CSM-002html</t>
  </si>
  <si>
    <t>SSC-WHS-CSM-003.html</t>
  </si>
  <si>
    <t>SSC-WHS-CAR-001.html</t>
  </si>
  <si>
    <t>SSC-WHS-CWMP-001_Construction_WHS_Management_Plan.html</t>
  </si>
  <si>
    <t>SSC-WHS-CWMP-001.html</t>
  </si>
  <si>
    <t>SSC-WHS-DA-001_Fitness_for_Work_DA_Register.html</t>
  </si>
  <si>
    <t>SSC-WHS-DA-001.html</t>
  </si>
  <si>
    <t>SSC-WHS-DOC-001_Document_Register_Master_Index.html</t>
  </si>
  <si>
    <t>SSC-WHS-DOC-001.html</t>
  </si>
  <si>
    <t>SSC-WHS-ELEC-001_Electrical_Test_Tag_Register.html</t>
  </si>
  <si>
    <t>SSC-WHS-ELEC-001.html</t>
  </si>
  <si>
    <t>SSC-WHS-EMR-001_Emergency_Response_Plan.hml</t>
  </si>
  <si>
    <t>SSC-WHS-EMR-001.hml</t>
  </si>
  <si>
    <t>SSC-WHS-EMR-002.html</t>
  </si>
  <si>
    <t>SSC-WHS-EMR-003.html</t>
  </si>
  <si>
    <t>SSC-WHS-HSR-001B.html</t>
  </si>
  <si>
    <t>SSC-WHS-EMR-002_Emergency_Warden_Drill_Record.html</t>
  </si>
  <si>
    <t>SSC-WHS-EMR-003_Fire_Emergency_Equipment_Register.html</t>
  </si>
  <si>
    <t>SSC-WHS-ERG-001_Ergonomic_Workstation_Assessment.html</t>
  </si>
  <si>
    <t>SSC-WHS-ERG-001.html</t>
  </si>
  <si>
    <t>SSC-WHS-FA-001_First_Aid_Register.html</t>
  </si>
  <si>
    <t>SSC-WHS-FA-001.html</t>
  </si>
  <si>
    <t>SSC-WHS-FAT-001.html</t>
  </si>
  <si>
    <t>SSC-WHS-HSR-001.html</t>
  </si>
  <si>
    <t>SSC-WHS-IMP-001.html</t>
  </si>
  <si>
    <t>SSC-WHS-FAT-001_Fatigue_Risk_Assessment.html</t>
  </si>
  <si>
    <t>SSC-WHS-HOC-001_Hierarchy_of_Controls_Selection_-_Effectiveness_Review.html</t>
  </si>
  <si>
    <t>SSC-WHS-HSR-001_Health_Surveillance_Register.html</t>
  </si>
  <si>
    <t>SSC-WHS-IMP-001_Injury_Management_Plan.html</t>
  </si>
  <si>
    <t>SSC-WHS-HSR-001B_HSR_Election_Work_Group_Record.html</t>
  </si>
  <si>
    <t>SSC-WHS-JDA-001_Job_Demands_-_Work_Design_Assessment.html</t>
  </si>
  <si>
    <t>SSC-WHS-KPI-001_WHS_Key_Performance_Indicators_Dashboard.html</t>
  </si>
  <si>
    <t>SSC-WHS-LEG-001_Multi-Jurisdiction_Legal_Compliance_Register.html</t>
  </si>
  <si>
    <t>SSC-WHS-MHT-001_Hazardous_Manual_Task_RA.html</t>
  </si>
  <si>
    <t>SSC-WHS-MOC-001_Management_of_Change_Review.html</t>
  </si>
  <si>
    <t>SSC-WHS-MPR-001_Monthly_WHS_Performance_Report.html</t>
  </si>
  <si>
    <t>SSC-WHS-NOI-001_Noise_Risk_Assessment.html</t>
  </si>
  <si>
    <t>SSC-WHS-PLANT-002_HRW_Licence_Competency_Register.html</t>
  </si>
  <si>
    <t>SSC-WHS-PPE-001_PPE_Register.html</t>
  </si>
  <si>
    <t>SSC-WHS-PSHRW-001_Regulatory_Notification_Checklist.html</t>
  </si>
  <si>
    <t>SSC-WHS-PTW-000_Permit_Master_Register.html</t>
  </si>
  <si>
    <t>SSC-WHS-PTW-CS-001_Confined_Space_Entry_Permit.html</t>
  </si>
  <si>
    <t>SSC-WHS-PTW-ELEC-001_Work_Near_Electric_Lines_Permit.htm</t>
  </si>
  <si>
    <t>SSC-WHS-PTW-EXC-001_Excavation_Permit.html</t>
  </si>
  <si>
    <t>SSC-WHS-PTW-HW-001_Hot_Work_Permit.html</t>
  </si>
  <si>
    <t>SSC-WHS-PTW-LOTO-001_Isolation_LOTO_Permit.html</t>
  </si>
  <si>
    <t>SSC-WHS-PTW-WAH-001_Working_at_Heights_Permit.html</t>
  </si>
  <si>
    <t>SSC-WHS-RTW-001_Return_to_Work_Case_Management_Form.html</t>
  </si>
  <si>
    <t>SSC-WHS-RTW-002_Graduated_Return_to_Work_Schedule.html</t>
  </si>
  <si>
    <t>SSC-WHS-SWMS-001_Safe_Work_Method_Statement.html</t>
  </si>
  <si>
    <t>SSC-WHS-THS-001_Thermal_Stress_Assessment.html</t>
  </si>
  <si>
    <t>SSC-WHS-VEH-001_Vehicle_Mobile_Plant_Prestart.html</t>
  </si>
  <si>
    <t>SSC-WHS-WCA-001_Workers_Compensation_Data_Analysis_Register.html</t>
  </si>
  <si>
    <t>SSC-WHS-JDA-001.html</t>
  </si>
  <si>
    <t>SSC-WHS-KPI-001.html</t>
  </si>
  <si>
    <t>SSC-WHS-LEG-001.html</t>
  </si>
  <si>
    <t>SSC-WHS-MHT-001.html</t>
  </si>
  <si>
    <t>SSC-WHS-MOC-001.html</t>
  </si>
  <si>
    <t>SSC-WHS-MPR-001.html</t>
  </si>
  <si>
    <t>SSC-WHS-NOI-001.html</t>
  </si>
  <si>
    <t>SSC-WHS-PLANT-002.html</t>
  </si>
  <si>
    <t>SSC-WHS-PPE-001.html</t>
  </si>
  <si>
    <t>SSC-WHS-PSHRW-001.html</t>
  </si>
  <si>
    <t>SSC-WHS-PSY-001.html</t>
  </si>
  <si>
    <t>SSC-WHS-PTW-000.html</t>
  </si>
  <si>
    <t>SSC-WHS-PTW-CS-001.html</t>
  </si>
  <si>
    <t>SSC-WHS-PTW-ELEC-001.htm</t>
  </si>
  <si>
    <t>SSC-WHS-PTW-EXC-001.html</t>
  </si>
  <si>
    <t>SSC-WHS-PTW-HW-001.html</t>
  </si>
  <si>
    <t>SSC-WHS-PTW-LOTO-001.html</t>
  </si>
  <si>
    <t>SSC-WHS-PTW-WAH-001.html</t>
  </si>
  <si>
    <t>SSC-WHS-RTW-001.html</t>
  </si>
  <si>
    <t>SSC-WHS-RTW-002.html</t>
  </si>
  <si>
    <t>SSC-WHS-THS-001.html</t>
  </si>
  <si>
    <t>SSC-WHS-VEH-001.html</t>
  </si>
  <si>
    <t>SSC-WHS-WCA-001.html</t>
  </si>
  <si>
    <t>SSC-WHS-WFH-001.html</t>
  </si>
  <si>
    <t>SSC-WHS-WFH-001_WFH_Remote_Work_Risk_Assessment.html</t>
  </si>
  <si>
    <t>SSC-ENV-SE-001_Sediment_Erosion_Control_Plan.html</t>
  </si>
  <si>
    <t>SSC-ENV-003_Environmental_Audit_Checklist.html</t>
  </si>
  <si>
    <t>SSC-ENV-WP-001_Weeds_Pests_Register.html</t>
  </si>
  <si>
    <t>SSC-ENV-WQ-001_Water_Quality_&amp;_Discharge_Register.html</t>
  </si>
  <si>
    <t>SSC-PM-CLO-001_Project_Close-Out_WHS_Inspection_Checklist.html</t>
  </si>
  <si>
    <t>SSC-PM-GRC-001_WHS_Gate_Review_Checklist.html</t>
  </si>
  <si>
    <t>SSC-PM-LLR-001_Project_WHS_Lessons_Learned_Register.html</t>
  </si>
  <si>
    <t>SSC-PM-MOC-001_Management_of_Change_-_WHS_Impact_Assessment.html</t>
  </si>
  <si>
    <t>SSC-PM-PRE-001_Pre-Mobilisation_Safety_Checklist.html</t>
  </si>
  <si>
    <t>SSC-PM-PRO-001_WHS_Procurement_Checklist.html</t>
  </si>
  <si>
    <t>SSC-PM-RCR-001_Project_Risk_-_WHS_Combined_Register.html</t>
  </si>
  <si>
    <t>SSC-PM-RPT-001_Monthly_WHS_Project_Progress_Report.html</t>
  </si>
  <si>
    <t>SSC-PM-SBR-001_WHS_Site_Briefing_Record.html</t>
  </si>
  <si>
    <t>SSC-PM-SCS-001_Sub-contractor_WHS_Performance_Scorecard.html</t>
  </si>
  <si>
    <t>SSC-PM-STK-001_Project_Stakeholder_WHS_Register.html</t>
  </si>
  <si>
    <t>SSC-PM-WCL-001_Worker_Consultation_Log.html</t>
  </si>
  <si>
    <t>SSC-PM-WHS-001_Project_WHS_Management_Plan.html</t>
  </si>
  <si>
    <t>SSC-TBT-02_Slips_Trips_Falls.html</t>
  </si>
  <si>
    <t>SSC-TBT-01_Working_at_Heights.html</t>
  </si>
  <si>
    <t>SSC-TBT-03_Manual_Handling_Lifting.html</t>
  </si>
  <si>
    <t>SSC-TBT-04_Noise_Hearing_Protection.html</t>
  </si>
  <si>
    <t>SSC-TBT-05_Vibration_Hand_Arm_Whole_Body.html</t>
  </si>
  <si>
    <t>SSC-TBT-06_Heat_Stress_Hot_Work_Environments.html</t>
  </si>
  <si>
    <t>SSC-TBT-07_Cold_Wet_Storm_Weather_Work.html</t>
  </si>
  <si>
    <t>SSC-TBT-08_UV_Sun_Safety.html</t>
  </si>
  <si>
    <t>SSC-TBT-09_Electrical_Safety.html</t>
  </si>
  <si>
    <t>SSC-TBT-10_Machine_Guarding.html</t>
  </si>
  <si>
    <t>SSC-TBT-11_Mobile_Plant_Pedestrian_Separation.html</t>
  </si>
  <si>
    <t>SSC-TBT-12_Traffic_Management.html</t>
  </si>
  <si>
    <t>SSC-TBT-13_Confined_Spaces.html</t>
  </si>
  <si>
    <t>SSC-TBT-14_Excavation_Trenching.html</t>
  </si>
  <si>
    <t>SSC-TBT-15_Hand_Power_Tool_Safety.html</t>
  </si>
  <si>
    <t>SSC-TBT-16_Ladder_Safety.html</t>
  </si>
  <si>
    <t>SSC-TBT-17_Scaffolding_Safety.html</t>
  </si>
  <si>
    <t>SSC-TBT-18_Cranes_Lifting_Operations.html</t>
  </si>
  <si>
    <t>SSC-TBT-19_Forklift_Safety.html</t>
  </si>
  <si>
    <t>SSC-TBT-20_Dropped_Objects.html</t>
  </si>
  <si>
    <t>SSC-TBT-21_Hazardous_Chemicals_SDS.html</t>
  </si>
  <si>
    <t>SSC-TBT-22_Asbestos_Awareness.html</t>
  </si>
  <si>
    <t>SSC-TBT-23_Silica_Dust_RCS.html</t>
  </si>
  <si>
    <t>SSC-TBT-24_Welding_Fumes_Hot_Metal_Work.html</t>
  </si>
  <si>
    <t>SSC-TBT-25_Biological_Hazards_Workplace_Hygiene.html</t>
  </si>
  <si>
    <t>SSC-TBT-26_Dangerous_Goods_Storage_Handling.html</t>
  </si>
  <si>
    <t>SSC-TBT-27_Psychosocial_Hazards_at_Work.html</t>
  </si>
  <si>
    <t>SSC-TBT-28_Bullying_Harassment_Respect_at_Work.html</t>
  </si>
  <si>
    <t>SSC-TBT-29_Fatigue_Management.html</t>
  </si>
  <si>
    <t>SSC-TBT-30_Drugs_Alcohol_at_Work.html</t>
  </si>
  <si>
    <t>SSC-TBT-31_Mental_Health_Awareness_Suicide_Prevention.html</t>
  </si>
  <si>
    <t>SSC-TBT-32_Ergonomics_Workstation_Setup.html</t>
  </si>
  <si>
    <t>SSC-TBT-34_Contractor_Visitor_Safety.html</t>
  </si>
  <si>
    <t>SSC-TBT-33_New_Workers.html</t>
  </si>
  <si>
    <t>SSC-TBT-35_Working_Alone_or_Remotely.html</t>
  </si>
  <si>
    <t>SSC-TBT-36_Workplace_Violence_Aggression.html</t>
  </si>
  <si>
    <t>SSC-TBT-37_PPE_Fit_Care_Limits.html</t>
  </si>
  <si>
    <t>SSC-TBT-38_Hand_Safety_Gloves.html</t>
  </si>
  <si>
    <t>SSC-TBT-39_Eye_Face_Protection.html</t>
  </si>
  <si>
    <t>SSC-TBT-40_Risk_Assessment_SWMS_Basics.html</t>
  </si>
  <si>
    <t>SSC-TBT-41_Hazard_Reporting_Near_Misses.html</t>
  </si>
  <si>
    <t>SSC-TBT-42_Incident_Response_Notifiable_Incidents.html</t>
  </si>
  <si>
    <t>SSC-TBT-43_Emergency_Evacuation_Assembly.html</t>
  </si>
  <si>
    <t>SSC-TBT-44_Fire_Prevention_Extinguishers.html</t>
  </si>
  <si>
    <t>SSC-TBT-45_First_Aid_Awareness.html</t>
  </si>
  <si>
    <t>SSC-TBT-46_Isolation_Lock_Out_Tag_Out_LOTO.html</t>
  </si>
  <si>
    <t>SSC-TBT-47_Permits_to_Work.html</t>
  </si>
  <si>
    <t>SSC-TBT-48_Housekeeping_5S.html</t>
  </si>
  <si>
    <t>SSC-TBT-49_Consultation_HSRs_Speaking_Up.html</t>
  </si>
  <si>
    <t>SSC-TBT-50_Right_to_Stop_Unsafe_Work.html</t>
  </si>
  <si>
    <t>SSC-TBT-51_Driving_Vehicle_Safety_for_Work.html</t>
  </si>
  <si>
    <t>SSC-TBT-52_Seasonal_Review_Safety_Reset.html</t>
  </si>
  <si>
    <t>SSC-TBT-53_Head_Protection.html</t>
  </si>
  <si>
    <t>SSC-TBT-54_Footwear_Safety.html</t>
  </si>
  <si>
    <t>SSC-TBT-55_Eye_Strain_Screens_Glare.html</t>
  </si>
  <si>
    <t>SSC-TBT-56_Gas_Cylinder_LPG_Safety.html</t>
  </si>
  <si>
    <t>SSC-TBT-57_Safety_Signs_Signage.html</t>
  </si>
  <si>
    <t>SSC-TBT-58_Site_Access_Egress_Emergency_Routes.html</t>
  </si>
  <si>
    <t>SSC-TBT-59_Working_From_Home_Safety.html</t>
  </si>
  <si>
    <t>SSC-TBT-60_Safety_Culture_Everyones_Responsibility.html</t>
  </si>
  <si>
    <t>SSC-PM-CLO-001.html</t>
  </si>
  <si>
    <t>SSC-PM-GRC-001.html</t>
  </si>
  <si>
    <t>SSC-PM-LLR-001.html</t>
  </si>
  <si>
    <t>SSC-PM-MOC-001.html</t>
  </si>
  <si>
    <t>SSC-PM-PRE-001.html</t>
  </si>
  <si>
    <t>SSC-PM-PRO-001.html</t>
  </si>
  <si>
    <t>SSC-PM-RCR-001.html</t>
  </si>
  <si>
    <t>SSC-PM-RPT-001.html</t>
  </si>
  <si>
    <t>SSC-PM-SBR-001.html</t>
  </si>
  <si>
    <t>SSC-PM-SCS-001.html</t>
  </si>
  <si>
    <t>SSC-PM-STK-001.html</t>
  </si>
  <si>
    <t>SSC-PM-WCL-001.html</t>
  </si>
  <si>
    <t>SSC-PM-WHS-001.html</t>
  </si>
  <si>
    <t>Price ex GST</t>
  </si>
  <si>
    <t>X</t>
  </si>
  <si>
    <t>Stripe payment link- SKU</t>
  </si>
  <si>
    <t>https://buy.stripe.com/28EfZabYG1KWdYwaf04Vy0o</t>
  </si>
  <si>
    <t>https://buy.stripe.com/9B6dR24wedtEbQo1Iu4Vy0p</t>
  </si>
  <si>
    <t>https://buy.stripe.com/bJe28k7Iq1KW5s072O4Vy0q</t>
  </si>
  <si>
    <t>SSC-WHS-ASB-001_Asbestos_Register_Management_Plan</t>
  </si>
  <si>
    <t>SSC-WHS-AUD-002_Audiometric_Testing_Record</t>
  </si>
  <si>
    <t>SSC-WHS-AUD-008_WHS_Internal_Audit_Checklist</t>
  </si>
  <si>
    <t>https://buy.stripe.com/fZu00cbYG0GSg6Ecn84Vy0r</t>
  </si>
  <si>
    <t>https://buy.stripe.com/3cIfZa9Qyblw1bKbj44Vy0s</t>
  </si>
  <si>
    <t>https://buy.stripe.com/5kQ7sE2o6ahscUs5YK4Vy0t</t>
  </si>
  <si>
    <t>https://buy.stripe.com/3cI8wIgeW2P0cUsbj44Vy0u</t>
  </si>
  <si>
    <t>https://buy.stripe.com/3cI8wI1k2dtE1bKaf04Vy0v</t>
  </si>
  <si>
    <t>added to Stripe</t>
  </si>
  <si>
    <t>https://buy.stripe.com/3cIaEQ8MudtEaMkaf04Vy0w</t>
  </si>
  <si>
    <t>https://buy.stripe.com/7sYaEQgeWblw1bK3QC4Vy0x</t>
  </si>
  <si>
    <t>SSC-WHS-BBV-001_BBV_Exposure_Incident_Record</t>
  </si>
  <si>
    <t>SSC-WHS-BUL-001_Bullying_Harassment_Complaint_Record</t>
  </si>
  <si>
    <t>SSC-WHS-CAR-001_Corrective_Action_Tracking_Register</t>
  </si>
  <si>
    <t>SSC-WHS-CHEM-001_Hazardous_Chemicals_Register</t>
  </si>
  <si>
    <t>SSC-WHS-CHEM-002_SDS_Register_Review_Log.</t>
  </si>
  <si>
    <t>https://buy.stripe.com/eVqaEQ1k261c8Ec2My4Vy0y</t>
  </si>
  <si>
    <t>https://buy.stripe.com/14A5kwe6O2P0cUs9aW4Vy0z</t>
  </si>
  <si>
    <t>File name</t>
  </si>
  <si>
    <t>SSC-WHS-TBT-000_Toolbox_Talk_Record.html</t>
  </si>
  <si>
    <t>SSC-WHS-TBT-000.html</t>
  </si>
  <si>
    <t>WHS-SSC-Bundle-001</t>
  </si>
  <si>
    <t>Price in gst</t>
  </si>
  <si>
    <t>PM-WHS-SSC-Bundle-001</t>
  </si>
  <si>
    <t>ENV-SSC-Bundle-001</t>
  </si>
  <si>
    <t>LDSG-SSC-Bundle-001</t>
  </si>
  <si>
    <t>GTBT-SSC-Bundle-001</t>
  </si>
  <si>
    <t>x</t>
  </si>
  <si>
    <t>SSC-ENV-SR-001html</t>
  </si>
  <si>
    <t>SSC-ENV-SE-001.html</t>
  </si>
  <si>
    <t>SSC-ENV-RP-00.html</t>
  </si>
  <si>
    <t>SSC-ENV-003.html</t>
  </si>
  <si>
    <t>SSC-ENV-WP-001.html</t>
  </si>
  <si>
    <t>SLMPKG-WHS-Bundle-001</t>
  </si>
  <si>
    <t>SSC-TBT-CARP-01_Circular_Saw_Table_Saw_Safety.html</t>
  </si>
  <si>
    <t>SSC-TBT-CARP-02_Nail_Gun_Powder-Actuated_Tools.html</t>
  </si>
  <si>
    <t>SSC-TBT-CARP-03_Router_Power_Tool_Kickback.html</t>
  </si>
  <si>
    <t>SSC-TBT-CARP-04_Timber_Framing_Manual_Handling.html</t>
  </si>
  <si>
    <t>SSC-TBT-CARP-05_Ladders_Trestles_for_Carpenters.html</t>
  </si>
  <si>
    <t>SSC-TBT-CARP-06_Dust_from_Timber_MDF_Treated_Products.html</t>
  </si>
  <si>
    <t>SSC-TBT-CARP-07_Roof_Framing_Truss_Installation.html</t>
  </si>
  <si>
    <t>SSC-TBT-CARP-08_Cordless_Tool_Battery_Charging_Safety.html</t>
  </si>
  <si>
    <t>SSC-TBT-CARP-09_Fixing_to_Structural_Elements.html</t>
  </si>
  <si>
    <t>SSC-TBT-CARP-10_Site_Measuring_Marking_Cutting_Safety.html</t>
  </si>
  <si>
    <t>SSC-TBT-CARP-11_Site-Built_Scaffolds_Mobile_Platforms.html</t>
  </si>
  <si>
    <t>SSC-TBT-CARP-12_Glue_Adhesives_Solvent_Safety.html</t>
  </si>
  <si>
    <t>SSC-TBT-CARP-13_Sharp_Hand_Tools_Chisels_Planes_Knives.html</t>
  </si>
  <si>
    <t>SSC-TBT-CARP-14_Working_with_Light_Gauge_Steel_Frame.html</t>
  </si>
  <si>
    <t>SSC-TBT-CARP-15_Noise_from_Power_Tools.html</t>
  </si>
  <si>
    <t>SSC-TBT-CARP-16_Manual_Lifting_of_Sheet_Materials.html</t>
  </si>
  <si>
    <t>SSC-TBT-61_Rights_Responsibilities_Duties.html</t>
  </si>
  <si>
    <t>SSC-TBT-62_Protecting_the_Public.html</t>
  </si>
  <si>
    <t>SSC-TBT-63_Power_Line_Overhead_Service_Awareness</t>
  </si>
  <si>
    <t>SSC-TBT-64_Refuelling_Flammable_Liquids</t>
  </si>
  <si>
    <t>SSC-TBT-65_Underground_Utilities_Awareness</t>
  </si>
  <si>
    <t>SSC-TBT-66_Workplace_Complacency</t>
  </si>
  <si>
    <t>SSC-TBT-67_Respiratory_Protection</t>
  </si>
  <si>
    <t>SSC-TBT-68_Stretching_Injury_Prevention_Warm-ups</t>
  </si>
  <si>
    <t>Leadership Series Guides-SSC-Bundle-001</t>
  </si>
  <si>
    <t>Project Management Specific-WHS-SSC-Bundle-001</t>
  </si>
  <si>
    <t>Solum WHS Package-Bundle-001 (excluding Industry specific toolbox talks)</t>
  </si>
  <si>
    <t>Industry-Specific-001-Carpentry&amp;Building</t>
  </si>
  <si>
    <t>Industry-Specific-002-Construction</t>
  </si>
  <si>
    <t>Industry-Specific-003-Councils&amp;Government</t>
  </si>
  <si>
    <t>Industry-Specific-004-Ecological&amp;Environmental</t>
  </si>
  <si>
    <t>Industry-Specific-005-Electrician</t>
  </si>
  <si>
    <t>Industry-Specific-006-FarmingOperations</t>
  </si>
  <si>
    <t>Industry-Specific-007-Lawn&amp;GardenMaintenance</t>
  </si>
  <si>
    <t>Industry-Specific-008-Logistics&amp;Transport</t>
  </si>
  <si>
    <t>Industry-Specific-009-Plumbing</t>
  </si>
  <si>
    <t>Industry-Specific-010-Remote&amp;HybridWork</t>
  </si>
  <si>
    <t>Industry-Specific-011-RenewableEnergy</t>
  </si>
  <si>
    <t>Industry-Specific-012-Retail</t>
  </si>
  <si>
    <t>Industry-Specific-013-Security</t>
  </si>
  <si>
    <t>Generic Toolbox Talks-SSC-Bundle-001</t>
  </si>
  <si>
    <t>https://buy.stripe.com/5kQ3co1k2cpA3jS4UG4Vy0A</t>
  </si>
  <si>
    <t>https://buy.stripe.com/6oU6oA6Em89kcUs5YK4Vy0B</t>
  </si>
  <si>
    <t>https://buy.stripe.com/00w3cogeWfBM7A872O4Vy0C</t>
  </si>
  <si>
    <t>https://buy.stripe.com/7sY3coe6OcpA1bKgDo4Vy0D</t>
  </si>
  <si>
    <t>https://buy.stripe.com/9B69AMaUC75g6w472O4Vy0E</t>
  </si>
  <si>
    <t>https://buy.stripe.com/cNi00c7Iqahs4nWevg4Vy0F</t>
  </si>
  <si>
    <t>https://buy.stripe.com/4gM4gs2o6blw6w41Iu4Vy0G</t>
  </si>
  <si>
    <t>https://buy.stripe.com/bJe5kwe6OexI3jSevg4Vy0H</t>
  </si>
  <si>
    <t>https://buy.stripe.com/9B6bIU6Em0GS5s03QC4Vy0I</t>
  </si>
  <si>
    <t>https://buy.stripe.com/dRmdR24we61c5s05YK4Vy0J</t>
  </si>
  <si>
    <t>SSC-LDR-01_Spotting_the_Signs.html</t>
  </si>
  <si>
    <t>SSC-LDR-02_Having_the_Difficult_Conversation.html</t>
  </si>
  <si>
    <t>SSC-LDR-03_Referral_Pathways_Overview.html</t>
  </si>
  <si>
    <t>SSC-LDR-04_Workers_Compensation_Basics.html</t>
  </si>
  <si>
    <t>SSC-LDR-05_EAP_Access_Guide.html</t>
  </si>
  <si>
    <t>SSC-LDR-06_Allied_Health_and_Mental_Health_Providers.html</t>
  </si>
  <si>
    <t>SSC-LDR-07_Supporting_a_Staff_Member_Caring_for_Family.html</t>
  </si>
  <si>
    <t>SSC-LDR-08_Leader_Self_Care.html</t>
  </si>
  <si>
    <t>SSC-LDR-09_Prevention_and_Early_Intervention_Programs.html</t>
  </si>
  <si>
    <t>SSC-LDR-10_Biopsychosocial_Model_Explainer.html</t>
  </si>
  <si>
    <t>SSC-LDR-11_Leading_Through_Change.html</t>
  </si>
  <si>
    <t>SSC-LDR-12_Managing_an_Active_Claim.html</t>
  </si>
  <si>
    <t>SSC-LDR-13_Keeping_Workers_Connected.html</t>
  </si>
  <si>
    <t>SSC-LDR-14_Improving_Team_Culture.html</t>
  </si>
  <si>
    <t>SSC-LDR-15_HR_and_WHS_Leading_Indicators.html</t>
  </si>
  <si>
    <t>SSC-LDR-16_Pre_Employment_Assessment.html</t>
  </si>
  <si>
    <t>SSC-LDR-17_Embedding_Wellbeing_into_Culture.html</t>
  </si>
  <si>
    <t>SSC-LDR-18_Reasonable_Adjustments.html</t>
  </si>
  <si>
    <t>SSC-LDR-19_Grief_and_Critical_Incident_Response.html</t>
  </si>
  <si>
    <t>SSC-LDR-20_Documentation_and_File_Notes.html</t>
  </si>
  <si>
    <t>SSC-LDR-HOW-01_Spotting_the_Signs.html</t>
  </si>
  <si>
    <t>SSC-LDR-HOW-02_Having_the_Difficult_Conversation.html</t>
  </si>
  <si>
    <t>SSC-LDR-HOW-03_Referral_Pathways.html</t>
  </si>
  <si>
    <t>SSC-LDR-HOW-04_Workers_Compensation_Basics.html</t>
  </si>
  <si>
    <t>SSC-LDR-HOW-05_EAP_Access.html</t>
  </si>
  <si>
    <t>SSC-LDR-HOW-06_Allied_Health_Mental_Health_Providers.html</t>
  </si>
  <si>
    <t>SSC-LDR-HOW-07_Supporting_a_Carer.html</t>
  </si>
  <si>
    <t>SSC-LDR-HOW-08_Leader_Self_Care.html</t>
  </si>
  <si>
    <t>SSC-LDR-HOW-09_Prevention_Early_Intervention_Programs.html</t>
  </si>
  <si>
    <t>SSC-LDR-HOW-10_The_Biopsychosocial_Model.html</t>
  </si>
  <si>
    <t>SSC-LDR-HOW-11_Leading_Through_Change.html</t>
  </si>
  <si>
    <t>SSC-LDR-HOW-12_Managing_an_Active_Claim.html</t>
  </si>
  <si>
    <t>SSC-LDR-HOW-13_Keeping_Workers_Connected.html</t>
  </si>
  <si>
    <t>SSC-LDR-HOW-14_Improving_Team_Culture.html</t>
  </si>
  <si>
    <t>SSC-LDR-HOW-15_HR_WHS_Metrics.html</t>
  </si>
  <si>
    <t>SSC-LDR-HOW-16_Pre_Employment_Assessment.html</t>
  </si>
  <si>
    <t>SSC-LDR-HOW-17_Embedding_Wellbeing_into_Culture.html</t>
  </si>
  <si>
    <t>SSC-LDR-HOW-18_Reasonable_Adjustments.html</t>
  </si>
  <si>
    <t>SSC-LDR-HOW-19_Grief_Critical_Incident_Response.html</t>
  </si>
  <si>
    <t>SSC-LDR-HOW-20_Documentation_File_Notes.html</t>
  </si>
  <si>
    <t>https://buy.stripe.com/3cIfZa2o62P03jSbj44Vy0K</t>
  </si>
  <si>
    <t>https://buy.stripe.com/fZu5kwbYGahsf2A2My4Vy0L</t>
  </si>
  <si>
    <t>https://buy.stripe.com/3cI5kwgeW4X81bK86S4Vy0M</t>
  </si>
  <si>
    <t>https://buy.stripe.com/cNidR2bYG9do7A8drc4Vy0N</t>
  </si>
  <si>
    <t>https://buy.stripe.com/cNi4gs7IqdtEdYw0Eq4Vy0O</t>
  </si>
  <si>
    <t>https://buy.stripe.com/28EdR25Ai3T45s0gDo4Vy0P</t>
  </si>
  <si>
    <t>https://buy.stripe.com/28EbIUgeW2P01bK9aW4Vy0Q</t>
  </si>
  <si>
    <t>https://buy.stripe.com/dRmbIU8MuexI5s03QC4Vy0R</t>
  </si>
  <si>
    <t>https://buy.stripe.com/14A8wIgeW0GScUsgDo4Vy0S</t>
  </si>
  <si>
    <t>https://buy.stripe.com/fZu00c1k22P08Ec3QC4Vy0T</t>
  </si>
  <si>
    <t>https://buy.stripe.com/00w7sE1k23T49Igdrc4Vy0U</t>
  </si>
  <si>
    <t>https://buy.stripe.com/8x23coaUC3T4bQoaf04Vy0V</t>
  </si>
  <si>
    <t>https://buy.stripe.com/3cIcMY0fY61cg6E5YK4Vy0W</t>
  </si>
  <si>
    <t>https://buy.stripe.com/14AfZa4we9do07G3QC4Vy0X</t>
  </si>
  <si>
    <t>https://buy.stripe.com/aFadR21k2ahs5s05YK4Vy0Y</t>
  </si>
  <si>
    <t>https://buy.stripe.com/bJe5kw1k22P07A8gDo4Vy0Z</t>
  </si>
  <si>
    <t>https://buy.stripe.com/aFa8wIbYG89k2fOaf04Vy10</t>
  </si>
  <si>
    <t>https://buy.stripe.com/3cI8wI5Aiahs4nW9aW4Vy11</t>
  </si>
  <si>
    <t>https://buy.stripe.com/8x2fZa3safBM5s0fzk4Vy12</t>
  </si>
  <si>
    <t>https://buy.stripe.com/28EaEQ3sa1KW07Gfzk4Vy13</t>
  </si>
  <si>
    <t>https://buy.stripe.com/7sYeV65AigFQ07G0Eq4Vy14</t>
  </si>
  <si>
    <t>https://buy.stripe.com/14A7sEd2K9dog6Ebj44Vy15</t>
  </si>
  <si>
    <t>https://buy.stripe.com/aFaeV60fYcpA5s04UG4Vy16</t>
  </si>
  <si>
    <t>https://buy.stripe.com/fZu4gs3saexI8Ec0Eq4Vy17</t>
  </si>
  <si>
    <t>https://buy.stripe.com/3cI9AMgeW0GS1bK3QC4Vy18</t>
  </si>
  <si>
    <t>https://buy.stripe.com/00w28kfaS3T43jSevg4Vy19</t>
  </si>
  <si>
    <t>https://buy.stripe.com/9B6aEQ2o689k3jS0Eq4Vy1a</t>
  </si>
  <si>
    <t>https://buy.stripe.com/00weV66Em9do7A8drc4Vy1b</t>
  </si>
  <si>
    <t>https://buy.stripe.com/6oU28k6Em0GS5s0evg4Vy1c</t>
  </si>
  <si>
    <t>https://buy.stripe.com/00wfZa2o6exI4nW4UG4Vy1d</t>
  </si>
  <si>
    <t>https://buy.stripe.com/cNiaEQ3sa9do1bK3QC4Vy1e</t>
  </si>
  <si>
    <t>https://buy.stripe.com/cNifZabYG0GSbQo1Iu4Vy1f</t>
  </si>
  <si>
    <t>https://buy.stripe.com/4gM6oA3sadtEbQo0Eq4Vy1g</t>
  </si>
  <si>
    <t>https://buy.stripe.com/5kQdR21k2ahs7A82My4Vy1h</t>
  </si>
  <si>
    <t>https://buy.stripe.com/fZucMYe6O89kbQobj44Vy1i</t>
  </si>
  <si>
    <t>https://buy.stripe.com/aFaaEQd2K61c3jSaf04Vy1j</t>
  </si>
  <si>
    <t>https://buy.stripe.com/14AcMYd2K3T407G4UG4Vy1k</t>
  </si>
  <si>
    <t>https://buy.stripe.com/00wbIU8MucpAcUs72O4Vy1l</t>
  </si>
  <si>
    <t>https://buy.stripe.com/cNi28k7IqgFQ5s03QC4Vy1m</t>
  </si>
  <si>
    <t>https://buy.stripe.com/cNieV6bYG1KW3jS9aW4Vy1n</t>
  </si>
  <si>
    <t>https://buy.stripe.com/cNi6oAbYG75g2fO4UG4Vy1o</t>
  </si>
  <si>
    <t>https://buy.stripe.com/3cI28kbYGdtEaMkgDo4Vy1p</t>
  </si>
  <si>
    <t>https://buy.stripe.com/aFa8wI9QyfBM6w45YK4Vy1q</t>
  </si>
  <si>
    <t>https://buy.stripe.com/28E8wI6EmgFQ4nW72O4Vy1r</t>
  </si>
  <si>
    <t>https://buy.stripe.com/28E8wI2o6exI9Ig2My4Vy1s</t>
  </si>
  <si>
    <t>https://buy.stripe.com/00wcMY5Ai4X807G2My4Vy1t</t>
  </si>
  <si>
    <t>https://buy.stripe.com/7sY00c5Ai3T407G1Iu4Vy1u</t>
  </si>
  <si>
    <t>https://buy.stripe.com/28E6oAd2K89kbQo1Iu4Vy1v</t>
  </si>
  <si>
    <t>https://buy.stripe.com/bJe14gd2K89k8Ec5YK4Vy1w</t>
  </si>
  <si>
    <t>https://buy.stripe.com/9B6bIU2o6exI3jSevg4Vy1x</t>
  </si>
  <si>
    <t>https://buy.stripe.com/dRm7sEbYGexIbQofzk4Vy1y</t>
  </si>
  <si>
    <t>https://buy.stripe.com/8x228kfaS9dog6E86S4Vy1z</t>
  </si>
  <si>
    <t>https://buy.stripe.com/3cI28kaUC61caMkaf04Vy1A</t>
  </si>
  <si>
    <t>https://buy.stripe.com/bJe9AMd2KdtEbQoevg4Vy1B</t>
  </si>
  <si>
    <t>https://buy.stripe.com/eVq7sE4wefBM8Ecdrc4Vy1C</t>
  </si>
  <si>
    <t>https://buy.stripe.com/4gMdR26Em9docUsevg4Vy1D</t>
  </si>
  <si>
    <t>https://buy.stripe.com/5kQeV60fYcpAcUs9aW4Vy1E</t>
  </si>
  <si>
    <t>https://buy.stripe.com/8x228kfaSexI4nWdrc4Vy1F</t>
  </si>
  <si>
    <t>https://buy.stripe.com/14A28k7Iq61c4nW1Iu4Vy1G</t>
  </si>
  <si>
    <t>https://buy.stripe.com/aFa7sE8Mublw9Igevg4Vy1H</t>
  </si>
  <si>
    <t>https://buy.stripe.com/6oU6oAfaSgFQ3jS0Eq4Vy1I</t>
  </si>
  <si>
    <t>https://buy.stripe.com/aFadR21k2exIaMk5YK4Vy1J</t>
  </si>
  <si>
    <t>https://buy.stripe.com/eVq8wIe6OblwcUs3QC4Vy1K</t>
  </si>
  <si>
    <t>https://buy.stripe.com/fZu3co1k20GS07G1Iu4Vy1L</t>
  </si>
  <si>
    <t>https://buy.stripe.com/eVq14g9Qy1KW07G72O4Vy1M</t>
  </si>
  <si>
    <t>https://buy.stripe.com/aFaaEQ1k2blwaMk86S4Vy1N</t>
  </si>
  <si>
    <t>https://buy.stripe.com/dRm14g7Iq89kg6E3QC4Vy1O</t>
  </si>
  <si>
    <t>https://buy.stripe.com/dRmfZa4wefBM1bK4UG4Vy1P</t>
  </si>
  <si>
    <t>https://buy.stripe.com/5kQ3co4wecpA5s086S4Vy1Q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</si>
</sst>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9"/>
      <color theme="1"/>
      <name val="Segoe U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8" fontId="0" fillId="0" borderId="0" xfId="0" applyNumberFormat="1"/>
    <xf numFmtId="44" fontId="0" fillId="0" borderId="0" xfId="0" applyNumberFormat="1"/>
    <xf numFmtId="44" fontId="0" fillId="0" borderId="0" xfId="0" applyNumberFormat="1" applyAlignment="1">
      <alignment horizontal="center"/>
    </xf>
    <xf numFmtId="0" fontId="2" fillId="0" borderId="0" xfId="1"/>
    <xf numFmtId="16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3B7DF6E-76B1-4BE0-9A97-33BF0925FD7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676dff2-6a42-4c5a-9962-09dcd295683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F578FE80-EDA3-4460-A4D7-B81DE8D83C15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165587f0-5fe8-4d24-91d1-ba6c09f397a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uy.stripe.com/3cIfZa2o62P03jSbj44Vy0K" TargetMode="External"/><Relationship Id="rId1" Type="http://schemas.openxmlformats.org/officeDocument/2006/relationships/hyperlink" Target="https://buy.stripe.com/00w3cogeWfBM7A872O4Vy0C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uy.stripe.com/3cI8wI1k2dtE1bKaf04Vy0v" TargetMode="External"/><Relationship Id="rId13" Type="http://schemas.openxmlformats.org/officeDocument/2006/relationships/hyperlink" Target="https://buy.stripe.com/aFaeV60fYcpA5s04UG4Vy16" TargetMode="External"/><Relationship Id="rId18" Type="http://schemas.openxmlformats.org/officeDocument/2006/relationships/hyperlink" Target="https://buy.stripe.com/cNi6oAbYG75g2fO4UG4Vy1o" TargetMode="External"/><Relationship Id="rId3" Type="http://schemas.openxmlformats.org/officeDocument/2006/relationships/hyperlink" Target="https://buy.stripe.com/bJe28k7Iq1KW5s072O4Vy0q" TargetMode="External"/><Relationship Id="rId7" Type="http://schemas.openxmlformats.org/officeDocument/2006/relationships/hyperlink" Target="https://buy.stripe.com/3cI8wIgeW2P0cUsbj44Vy0u" TargetMode="External"/><Relationship Id="rId12" Type="http://schemas.openxmlformats.org/officeDocument/2006/relationships/hyperlink" Target="https://buy.stripe.com/14A5kwe6O2P0cUs9aW4Vy0z" TargetMode="External"/><Relationship Id="rId17" Type="http://schemas.openxmlformats.org/officeDocument/2006/relationships/hyperlink" Target="https://buy.stripe.com/14AcMYd2K3T407G4UG4Vy1k" TargetMode="External"/><Relationship Id="rId2" Type="http://schemas.openxmlformats.org/officeDocument/2006/relationships/hyperlink" Target="https://buy.stripe.com/9B6dR24wedtEbQo1Iu4Vy0p" TargetMode="External"/><Relationship Id="rId16" Type="http://schemas.openxmlformats.org/officeDocument/2006/relationships/hyperlink" Target="https://buy.stripe.com/aFaaEQd2K61c3jSaf04Vy1j" TargetMode="External"/><Relationship Id="rId1" Type="http://schemas.openxmlformats.org/officeDocument/2006/relationships/hyperlink" Target="https://buy.stripe.com/28EfZabYG1KWdYwaf04Vy0o" TargetMode="External"/><Relationship Id="rId6" Type="http://schemas.openxmlformats.org/officeDocument/2006/relationships/hyperlink" Target="https://buy.stripe.com/5kQ7sE2o6ahscUs5YK4Vy0t" TargetMode="External"/><Relationship Id="rId11" Type="http://schemas.openxmlformats.org/officeDocument/2006/relationships/hyperlink" Target="https://buy.stripe.com/eVqaEQ1k261c8Ec2My4Vy0y" TargetMode="External"/><Relationship Id="rId5" Type="http://schemas.openxmlformats.org/officeDocument/2006/relationships/hyperlink" Target="https://buy.stripe.com/3cIfZa9Qyblw1bKbj44Vy0s" TargetMode="External"/><Relationship Id="rId15" Type="http://schemas.openxmlformats.org/officeDocument/2006/relationships/hyperlink" Target="https://buy.stripe.com/5kQdR21k2ahs7A82My4Vy1h" TargetMode="External"/><Relationship Id="rId10" Type="http://schemas.openxmlformats.org/officeDocument/2006/relationships/hyperlink" Target="https://buy.stripe.com/7sYaEQgeWblw1bK3QC4Vy0x" TargetMode="External"/><Relationship Id="rId19" Type="http://schemas.openxmlformats.org/officeDocument/2006/relationships/hyperlink" Target="https://buy.stripe.com/aFa8wI9QyfBM6w45YK4Vy1q" TargetMode="External"/><Relationship Id="rId4" Type="http://schemas.openxmlformats.org/officeDocument/2006/relationships/hyperlink" Target="https://buy.stripe.com/fZu00cbYG0GSg6Ecn84Vy0r" TargetMode="External"/><Relationship Id="rId9" Type="http://schemas.openxmlformats.org/officeDocument/2006/relationships/hyperlink" Target="https://buy.stripe.com/3cIaEQ8MudtEaMkaf04Vy0w" TargetMode="External"/><Relationship Id="rId14" Type="http://schemas.openxmlformats.org/officeDocument/2006/relationships/hyperlink" Target="https://buy.stripe.com/00weV66Em9do7A8drc4Vy1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CD47F-31ED-432B-BDFF-75A70A8A8163}">
  <dimension ref="A1:I21"/>
  <sheetViews>
    <sheetView workbookViewId="0">
      <selection activeCell="L10" sqref="L10"/>
    </sheetView>
  </sheetViews>
  <sheetFormatPr defaultRowHeight="14.5" x14ac:dyDescent="0.35"/>
  <cols>
    <col min="1" max="1" width="22.36328125" customWidth="1"/>
    <col min="2" max="2" width="35.7265625" customWidth="1"/>
    <col min="3" max="3" width="24.36328125" customWidth="1"/>
    <col min="4" max="4" width="16.08984375" customWidth="1"/>
    <col min="5" max="5" width="52.453125" customWidth="1"/>
  </cols>
  <sheetData>
    <row r="1" spans="1:5" x14ac:dyDescent="0.35">
      <c r="A1" t="s">
        <v>2</v>
      </c>
      <c r="B1" t="s">
        <v>410</v>
      </c>
      <c r="C1" s="1" t="s">
        <v>414</v>
      </c>
      <c r="D1" s="1" t="s">
        <v>400</v>
      </c>
      <c r="E1" s="1" t="s">
        <v>388</v>
      </c>
    </row>
    <row r="2" spans="1:5" x14ac:dyDescent="0.35">
      <c r="A2" t="s">
        <v>413</v>
      </c>
      <c r="B2" t="s">
        <v>413</v>
      </c>
      <c r="C2" s="4">
        <f>90+9</f>
        <v>99</v>
      </c>
      <c r="D2" s="8" t="s">
        <v>419</v>
      </c>
      <c r="E2" t="s">
        <v>471</v>
      </c>
    </row>
    <row r="3" spans="1:5" x14ac:dyDescent="0.35">
      <c r="A3" t="s">
        <v>415</v>
      </c>
      <c r="B3" t="s">
        <v>451</v>
      </c>
      <c r="C3" s="4">
        <f>15+1.5</f>
        <v>16.5</v>
      </c>
      <c r="D3" s="8" t="s">
        <v>419</v>
      </c>
      <c r="E3" t="s">
        <v>472</v>
      </c>
    </row>
    <row r="4" spans="1:5" x14ac:dyDescent="0.35">
      <c r="A4" t="s">
        <v>418</v>
      </c>
      <c r="B4" t="s">
        <v>466</v>
      </c>
      <c r="C4" s="4">
        <f>65+6.5</f>
        <v>71.5</v>
      </c>
      <c r="D4" s="8" t="s">
        <v>419</v>
      </c>
      <c r="E4" t="s">
        <v>473</v>
      </c>
    </row>
    <row r="5" spans="1:5" x14ac:dyDescent="0.35">
      <c r="A5" t="s">
        <v>417</v>
      </c>
      <c r="B5" t="s">
        <v>450</v>
      </c>
      <c r="C5" s="4">
        <f>60+6</f>
        <v>66</v>
      </c>
      <c r="D5" s="8" t="s">
        <v>419</v>
      </c>
      <c r="E5" t="s">
        <v>474</v>
      </c>
    </row>
    <row r="6" spans="1:5" x14ac:dyDescent="0.35">
      <c r="A6" t="s">
        <v>425</v>
      </c>
      <c r="B6" t="s">
        <v>452</v>
      </c>
      <c r="C6" s="4">
        <f>150+15</f>
        <v>165</v>
      </c>
      <c r="D6" s="8" t="s">
        <v>419</v>
      </c>
      <c r="E6" t="s">
        <v>470</v>
      </c>
    </row>
    <row r="7" spans="1:5" x14ac:dyDescent="0.35">
      <c r="A7" t="s">
        <v>453</v>
      </c>
      <c r="B7" t="s">
        <v>453</v>
      </c>
      <c r="C7" s="4">
        <f>25+2.5</f>
        <v>27.5</v>
      </c>
      <c r="D7" s="8" t="s">
        <v>419</v>
      </c>
      <c r="E7" t="s">
        <v>475</v>
      </c>
    </row>
    <row r="8" spans="1:5" x14ac:dyDescent="0.35">
      <c r="A8" t="s">
        <v>454</v>
      </c>
      <c r="B8" t="s">
        <v>454</v>
      </c>
      <c r="C8" s="4">
        <f>25+2.5</f>
        <v>27.5</v>
      </c>
      <c r="D8" s="8" t="s">
        <v>419</v>
      </c>
      <c r="E8" t="s">
        <v>476</v>
      </c>
    </row>
    <row r="9" spans="1:5" x14ac:dyDescent="0.35">
      <c r="A9" t="s">
        <v>455</v>
      </c>
      <c r="B9" t="s">
        <v>455</v>
      </c>
      <c r="C9" s="4">
        <f>25+2.5</f>
        <v>27.5</v>
      </c>
      <c r="D9" s="8" t="s">
        <v>419</v>
      </c>
      <c r="E9" s="6" t="s">
        <v>517</v>
      </c>
    </row>
    <row r="10" spans="1:5" x14ac:dyDescent="0.35">
      <c r="A10" t="s">
        <v>456</v>
      </c>
      <c r="B10" t="s">
        <v>456</v>
      </c>
      <c r="C10" s="4">
        <f>25+2.5</f>
        <v>27.5</v>
      </c>
      <c r="D10" s="8" t="s">
        <v>419</v>
      </c>
      <c r="E10" t="s">
        <v>518</v>
      </c>
    </row>
    <row r="11" spans="1:5" x14ac:dyDescent="0.35">
      <c r="A11" t="s">
        <v>457</v>
      </c>
      <c r="B11" t="s">
        <v>457</v>
      </c>
      <c r="C11" s="4">
        <f>18+1.8</f>
        <v>19.8</v>
      </c>
      <c r="D11" s="8" t="s">
        <v>419</v>
      </c>
      <c r="E11" t="s">
        <v>519</v>
      </c>
    </row>
    <row r="12" spans="1:5" x14ac:dyDescent="0.35">
      <c r="A12" t="s">
        <v>458</v>
      </c>
      <c r="B12" t="s">
        <v>458</v>
      </c>
      <c r="C12" s="4">
        <v>27.5</v>
      </c>
      <c r="D12" s="8" t="s">
        <v>419</v>
      </c>
      <c r="E12" t="s">
        <v>520</v>
      </c>
    </row>
    <row r="13" spans="1:5" x14ac:dyDescent="0.35">
      <c r="A13" t="s">
        <v>459</v>
      </c>
      <c r="B13" t="s">
        <v>459</v>
      </c>
      <c r="C13" s="4">
        <v>27.5</v>
      </c>
      <c r="D13" s="8" t="s">
        <v>419</v>
      </c>
      <c r="E13" t="s">
        <v>521</v>
      </c>
    </row>
    <row r="14" spans="1:5" x14ac:dyDescent="0.35">
      <c r="A14" t="s">
        <v>460</v>
      </c>
      <c r="B14" t="s">
        <v>460</v>
      </c>
      <c r="C14" s="4">
        <v>19.8</v>
      </c>
      <c r="D14" s="8" t="s">
        <v>419</v>
      </c>
      <c r="E14" t="s">
        <v>522</v>
      </c>
    </row>
    <row r="15" spans="1:5" x14ac:dyDescent="0.35">
      <c r="A15" t="s">
        <v>461</v>
      </c>
      <c r="B15" t="s">
        <v>461</v>
      </c>
      <c r="C15" s="4">
        <v>19.8</v>
      </c>
      <c r="D15" s="8" t="s">
        <v>419</v>
      </c>
      <c r="E15" t="s">
        <v>523</v>
      </c>
    </row>
    <row r="16" spans="1:5" x14ac:dyDescent="0.35">
      <c r="A16" t="s">
        <v>462</v>
      </c>
      <c r="B16" t="s">
        <v>462</v>
      </c>
      <c r="C16" s="4">
        <v>19.8</v>
      </c>
      <c r="D16" s="8" t="s">
        <v>419</v>
      </c>
      <c r="E16" t="s">
        <v>524</v>
      </c>
    </row>
    <row r="17" spans="1:9" x14ac:dyDescent="0.35">
      <c r="A17" t="s">
        <v>463</v>
      </c>
      <c r="B17" t="s">
        <v>463</v>
      </c>
      <c r="C17" s="4">
        <v>19.8</v>
      </c>
      <c r="D17" s="8" t="s">
        <v>419</v>
      </c>
      <c r="E17" s="6" t="s">
        <v>469</v>
      </c>
    </row>
    <row r="18" spans="1:9" x14ac:dyDescent="0.35">
      <c r="A18" t="s">
        <v>464</v>
      </c>
      <c r="B18" t="s">
        <v>464</v>
      </c>
      <c r="C18" s="4">
        <v>19.8</v>
      </c>
      <c r="D18" s="8" t="s">
        <v>419</v>
      </c>
      <c r="E18" t="s">
        <v>468</v>
      </c>
    </row>
    <row r="19" spans="1:9" x14ac:dyDescent="0.35">
      <c r="A19" t="s">
        <v>465</v>
      </c>
      <c r="B19" t="s">
        <v>465</v>
      </c>
      <c r="C19" s="4">
        <v>19.8</v>
      </c>
      <c r="D19" s="8" t="s">
        <v>419</v>
      </c>
      <c r="E19" t="s">
        <v>467</v>
      </c>
    </row>
    <row r="20" spans="1:9" x14ac:dyDescent="0.35">
      <c r="A20" s="9"/>
      <c r="B20" s="9"/>
      <c r="C20" s="9"/>
      <c r="D20" s="9"/>
      <c r="E20" s="9"/>
      <c r="F20" s="9"/>
      <c r="G20" s="9"/>
      <c r="H20" s="9"/>
      <c r="I20" s="9"/>
    </row>
    <row r="21" spans="1:9" x14ac:dyDescent="0.35">
      <c r="A21" t="s">
        <v>416</v>
      </c>
      <c r="B21" t="s">
        <v>416</v>
      </c>
      <c r="C21" s="4">
        <f>35+2.5</f>
        <v>37.5</v>
      </c>
      <c r="D21" s="8" t="s">
        <v>419</v>
      </c>
    </row>
  </sheetData>
  <phoneticPr fontId="3" type="noConversion"/>
  <hyperlinks>
    <hyperlink ref="E17" r:id="rId1" xr:uid="{D627D6DB-F857-48CD-9600-51CA0487AE65}"/>
    <hyperlink ref="E9" r:id="rId2" xr:uid="{A02BFB81-A75A-4FC9-8B8B-E14C7A6FA8C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79BD9-8806-46C9-84DE-C4BB5ED7C7E2}">
  <dimension ref="A1:E237"/>
  <sheetViews>
    <sheetView tabSelected="1" topLeftCell="A67" workbookViewId="0">
      <selection activeCell="E75" sqref="E75"/>
    </sheetView>
  </sheetViews>
  <sheetFormatPr defaultRowHeight="14.5" x14ac:dyDescent="0.35"/>
  <cols>
    <col min="1" max="1" width="41.81640625" customWidth="1"/>
    <col min="2" max="2" width="70.54296875" customWidth="1"/>
    <col min="3" max="4" width="12.90625" customWidth="1"/>
    <col min="5" max="5" width="37.6328125" customWidth="1"/>
  </cols>
  <sheetData>
    <row r="1" spans="1:5" x14ac:dyDescent="0.35">
      <c r="A1" t="s">
        <v>2</v>
      </c>
      <c r="B1" t="s">
        <v>0</v>
      </c>
      <c r="C1" s="1" t="s">
        <v>414</v>
      </c>
      <c r="D1" s="1" t="s">
        <v>400</v>
      </c>
      <c r="E1" s="1" t="s">
        <v>388</v>
      </c>
    </row>
    <row r="3" spans="1:5" x14ac:dyDescent="0.35">
      <c r="A3" t="s">
        <v>200</v>
      </c>
      <c r="B3" t="s">
        <v>392</v>
      </c>
      <c r="C3" s="4">
        <v>2.2000000000000002</v>
      </c>
      <c r="D3" s="5" t="s">
        <v>387</v>
      </c>
      <c r="E3" s="6" t="s">
        <v>389</v>
      </c>
    </row>
    <row r="4" spans="1:5" x14ac:dyDescent="0.35">
      <c r="A4" t="s">
        <v>201</v>
      </c>
      <c r="B4" t="s">
        <v>393</v>
      </c>
      <c r="C4" s="4">
        <v>2.2000000000000002</v>
      </c>
      <c r="D4" s="5" t="s">
        <v>387</v>
      </c>
      <c r="E4" s="6" t="s">
        <v>390</v>
      </c>
    </row>
    <row r="5" spans="1:5" x14ac:dyDescent="0.35">
      <c r="A5" t="s">
        <v>86</v>
      </c>
      <c r="B5" t="s">
        <v>394</v>
      </c>
      <c r="C5" s="4">
        <v>2.2000000000000002</v>
      </c>
      <c r="D5" s="5" t="s">
        <v>387</v>
      </c>
      <c r="E5" s="6" t="s">
        <v>391</v>
      </c>
    </row>
    <row r="6" spans="1:5" x14ac:dyDescent="0.35">
      <c r="A6" t="s">
        <v>202</v>
      </c>
      <c r="B6" t="s">
        <v>403</v>
      </c>
      <c r="C6" s="4">
        <v>2.2000000000000002</v>
      </c>
      <c r="D6" s="5" t="s">
        <v>387</v>
      </c>
      <c r="E6" s="6" t="s">
        <v>395</v>
      </c>
    </row>
    <row r="7" spans="1:5" x14ac:dyDescent="0.35">
      <c r="A7" t="s">
        <v>203</v>
      </c>
      <c r="B7" t="s">
        <v>404</v>
      </c>
      <c r="C7" s="4">
        <v>2.2000000000000002</v>
      </c>
      <c r="D7" s="5" t="s">
        <v>387</v>
      </c>
      <c r="E7" s="6" t="s">
        <v>396</v>
      </c>
    </row>
    <row r="8" spans="1:5" x14ac:dyDescent="0.35">
      <c r="A8" t="s">
        <v>220</v>
      </c>
      <c r="B8" t="s">
        <v>405</v>
      </c>
      <c r="C8" s="4">
        <v>2.2000000000000002</v>
      </c>
      <c r="D8" s="5" t="s">
        <v>387</v>
      </c>
      <c r="E8" s="6" t="s">
        <v>397</v>
      </c>
    </row>
    <row r="9" spans="1:5" x14ac:dyDescent="0.35">
      <c r="A9" t="s">
        <v>206</v>
      </c>
      <c r="B9" t="s">
        <v>406</v>
      </c>
      <c r="C9" s="4">
        <v>2.2000000000000002</v>
      </c>
      <c r="D9" s="5" t="s">
        <v>387</v>
      </c>
      <c r="E9" s="6" t="s">
        <v>398</v>
      </c>
    </row>
    <row r="10" spans="1:5" x14ac:dyDescent="0.35">
      <c r="A10" t="s">
        <v>207</v>
      </c>
      <c r="B10" t="s">
        <v>407</v>
      </c>
      <c r="C10" s="4">
        <v>2.2000000000000002</v>
      </c>
      <c r="D10" s="5" t="s">
        <v>387</v>
      </c>
      <c r="E10" s="6" t="s">
        <v>399</v>
      </c>
    </row>
    <row r="11" spans="1:5" x14ac:dyDescent="0.35">
      <c r="A11" t="s">
        <v>209</v>
      </c>
      <c r="B11" t="s">
        <v>208</v>
      </c>
      <c r="C11" s="4">
        <v>2.2000000000000002</v>
      </c>
      <c r="D11" s="5" t="s">
        <v>387</v>
      </c>
      <c r="E11" s="6" t="s">
        <v>401</v>
      </c>
    </row>
    <row r="12" spans="1:5" x14ac:dyDescent="0.35">
      <c r="A12" t="s">
        <v>211</v>
      </c>
      <c r="B12" t="s">
        <v>210</v>
      </c>
      <c r="C12" s="4">
        <v>2.2000000000000002</v>
      </c>
      <c r="D12" s="5" t="s">
        <v>387</v>
      </c>
      <c r="E12" s="6" t="s">
        <v>402</v>
      </c>
    </row>
    <row r="13" spans="1:5" x14ac:dyDescent="0.35">
      <c r="A13" t="s">
        <v>213</v>
      </c>
      <c r="B13" t="s">
        <v>212</v>
      </c>
      <c r="C13" s="4">
        <v>2.2000000000000002</v>
      </c>
      <c r="D13" s="5" t="s">
        <v>387</v>
      </c>
      <c r="E13" s="6" t="s">
        <v>408</v>
      </c>
    </row>
    <row r="14" spans="1:5" x14ac:dyDescent="0.35">
      <c r="A14" t="s">
        <v>215</v>
      </c>
      <c r="B14" t="s">
        <v>214</v>
      </c>
      <c r="C14" s="4">
        <v>2.2000000000000002</v>
      </c>
      <c r="D14" s="5" t="s">
        <v>387</v>
      </c>
      <c r="E14" s="6" t="s">
        <v>409</v>
      </c>
    </row>
    <row r="15" spans="1:5" x14ac:dyDescent="0.35">
      <c r="A15" t="s">
        <v>218</v>
      </c>
      <c r="B15" t="s">
        <v>216</v>
      </c>
      <c r="C15" s="4">
        <v>2.2000000000000002</v>
      </c>
      <c r="D15" s="5" t="s">
        <v>387</v>
      </c>
      <c r="E15" t="s">
        <v>525</v>
      </c>
    </row>
    <row r="16" spans="1:5" ht="17" customHeight="1" x14ac:dyDescent="0.35">
      <c r="A16" t="s">
        <v>219</v>
      </c>
      <c r="B16" t="s">
        <v>217</v>
      </c>
      <c r="C16" s="4">
        <v>2.2000000000000002</v>
      </c>
      <c r="D16" s="5" t="s">
        <v>387</v>
      </c>
      <c r="E16" t="s">
        <v>526</v>
      </c>
    </row>
    <row r="17" spans="1:5" ht="17" customHeight="1" x14ac:dyDescent="0.35">
      <c r="A17" t="s">
        <v>222</v>
      </c>
      <c r="B17" t="s">
        <v>221</v>
      </c>
      <c r="C17" s="4">
        <v>2.2000000000000002</v>
      </c>
      <c r="D17" s="5" t="s">
        <v>387</v>
      </c>
      <c r="E17" t="s">
        <v>527</v>
      </c>
    </row>
    <row r="18" spans="1:5" ht="17" customHeight="1" x14ac:dyDescent="0.35">
      <c r="A18" t="s">
        <v>224</v>
      </c>
      <c r="B18" t="s">
        <v>223</v>
      </c>
      <c r="C18" s="4">
        <v>2.2000000000000002</v>
      </c>
      <c r="D18" s="5" t="s">
        <v>387</v>
      </c>
      <c r="E18" t="s">
        <v>528</v>
      </c>
    </row>
    <row r="19" spans="1:5" ht="17" customHeight="1" x14ac:dyDescent="0.35">
      <c r="A19" t="s">
        <v>226</v>
      </c>
      <c r="B19" t="s">
        <v>225</v>
      </c>
      <c r="C19" s="4">
        <v>2.2000000000000002</v>
      </c>
      <c r="D19" s="5" t="s">
        <v>387</v>
      </c>
      <c r="E19" t="s">
        <v>529</v>
      </c>
    </row>
    <row r="20" spans="1:5" ht="17" customHeight="1" x14ac:dyDescent="0.35">
      <c r="A20" t="s">
        <v>228</v>
      </c>
      <c r="B20" t="s">
        <v>227</v>
      </c>
      <c r="C20" s="4">
        <v>2.2000000000000002</v>
      </c>
      <c r="D20" s="5" t="s">
        <v>387</v>
      </c>
      <c r="E20" t="s">
        <v>530</v>
      </c>
    </row>
    <row r="21" spans="1:5" ht="17" customHeight="1" x14ac:dyDescent="0.35">
      <c r="A21" t="s">
        <v>230</v>
      </c>
      <c r="B21" t="s">
        <v>229</v>
      </c>
      <c r="C21" s="4">
        <v>2.2000000000000002</v>
      </c>
      <c r="D21" s="5" t="s">
        <v>387</v>
      </c>
      <c r="E21" t="s">
        <v>531</v>
      </c>
    </row>
    <row r="22" spans="1:5" ht="17" customHeight="1" x14ac:dyDescent="0.35">
      <c r="A22" t="s">
        <v>231</v>
      </c>
      <c r="B22" t="s">
        <v>234</v>
      </c>
      <c r="C22" s="4">
        <v>2.2000000000000002</v>
      </c>
      <c r="D22" s="5" t="s">
        <v>387</v>
      </c>
      <c r="E22" t="s">
        <v>532</v>
      </c>
    </row>
    <row r="23" spans="1:5" ht="17" customHeight="1" x14ac:dyDescent="0.35">
      <c r="A23" t="s">
        <v>232</v>
      </c>
      <c r="B23" t="s">
        <v>235</v>
      </c>
      <c r="C23" s="4">
        <v>2.2000000000000002</v>
      </c>
      <c r="D23" s="5" t="s">
        <v>387</v>
      </c>
      <c r="E23" t="s">
        <v>533</v>
      </c>
    </row>
    <row r="24" spans="1:5" ht="17" customHeight="1" x14ac:dyDescent="0.35">
      <c r="A24" t="s">
        <v>237</v>
      </c>
      <c r="B24" t="s">
        <v>236</v>
      </c>
      <c r="C24" s="4">
        <v>2.2000000000000002</v>
      </c>
      <c r="D24" s="5" t="s">
        <v>387</v>
      </c>
      <c r="E24" t="s">
        <v>534</v>
      </c>
    </row>
    <row r="25" spans="1:5" ht="17" customHeight="1" x14ac:dyDescent="0.35">
      <c r="A25" t="s">
        <v>239</v>
      </c>
      <c r="B25" t="s">
        <v>238</v>
      </c>
      <c r="C25" s="4">
        <v>2.2000000000000002</v>
      </c>
      <c r="D25" s="5" t="s">
        <v>387</v>
      </c>
      <c r="E25" t="s">
        <v>535</v>
      </c>
    </row>
    <row r="26" spans="1:5" ht="17" customHeight="1" x14ac:dyDescent="0.35">
      <c r="A26" t="s">
        <v>240</v>
      </c>
      <c r="B26" t="s">
        <v>243</v>
      </c>
      <c r="C26" s="4">
        <v>2.2000000000000002</v>
      </c>
      <c r="D26" s="5" t="s">
        <v>387</v>
      </c>
      <c r="E26" t="s">
        <v>536</v>
      </c>
    </row>
    <row r="27" spans="1:5" ht="17" customHeight="1" x14ac:dyDescent="0.35">
      <c r="A27" t="s">
        <v>197</v>
      </c>
      <c r="B27" t="s">
        <v>244</v>
      </c>
      <c r="C27" s="4">
        <v>2.2000000000000002</v>
      </c>
      <c r="D27" s="5" t="s">
        <v>387</v>
      </c>
      <c r="E27" t="s">
        <v>537</v>
      </c>
    </row>
    <row r="28" spans="1:5" ht="17" customHeight="1" x14ac:dyDescent="0.35">
      <c r="A28" t="s">
        <v>241</v>
      </c>
      <c r="B28" t="s">
        <v>245</v>
      </c>
      <c r="C28" s="4">
        <v>2.2000000000000002</v>
      </c>
      <c r="D28" s="5" t="s">
        <v>387</v>
      </c>
      <c r="E28" t="s">
        <v>538</v>
      </c>
    </row>
    <row r="29" spans="1:5" ht="17" customHeight="1" x14ac:dyDescent="0.35">
      <c r="A29" t="s">
        <v>233</v>
      </c>
      <c r="B29" t="s">
        <v>247</v>
      </c>
      <c r="C29" s="4">
        <v>2.2000000000000002</v>
      </c>
      <c r="D29" s="5" t="s">
        <v>387</v>
      </c>
      <c r="E29" s="6" t="s">
        <v>539</v>
      </c>
    </row>
    <row r="30" spans="1:5" ht="17" customHeight="1" x14ac:dyDescent="0.35">
      <c r="A30" t="s">
        <v>242</v>
      </c>
      <c r="B30" t="s">
        <v>246</v>
      </c>
      <c r="C30" s="4">
        <v>2.2000000000000002</v>
      </c>
      <c r="D30" s="5" t="s">
        <v>387</v>
      </c>
      <c r="E30" t="s">
        <v>540</v>
      </c>
    </row>
    <row r="31" spans="1:5" ht="17" customHeight="1" x14ac:dyDescent="0.35">
      <c r="A31" t="s">
        <v>179</v>
      </c>
      <c r="B31" t="s">
        <v>180</v>
      </c>
      <c r="C31" s="4">
        <v>2.2000000000000002</v>
      </c>
      <c r="D31" s="5" t="s">
        <v>387</v>
      </c>
      <c r="E31" t="s">
        <v>541</v>
      </c>
    </row>
    <row r="32" spans="1:5" ht="17" customHeight="1" x14ac:dyDescent="0.35">
      <c r="A32" t="s">
        <v>14</v>
      </c>
      <c r="B32" t="s">
        <v>15</v>
      </c>
      <c r="C32" s="4">
        <v>2.2000000000000002</v>
      </c>
      <c r="D32" s="5" t="s">
        <v>387</v>
      </c>
      <c r="E32" t="s">
        <v>542</v>
      </c>
    </row>
    <row r="33" spans="1:5" ht="17" customHeight="1" x14ac:dyDescent="0.35">
      <c r="A33" t="s">
        <v>8</v>
      </c>
      <c r="B33" t="s">
        <v>9</v>
      </c>
      <c r="C33" s="4">
        <v>2.2000000000000002</v>
      </c>
      <c r="D33" s="5" t="s">
        <v>387</v>
      </c>
      <c r="E33" t="s">
        <v>543</v>
      </c>
    </row>
    <row r="34" spans="1:5" ht="17" customHeight="1" x14ac:dyDescent="0.35">
      <c r="A34" t="s">
        <v>16</v>
      </c>
      <c r="B34" t="s">
        <v>17</v>
      </c>
      <c r="C34" s="4">
        <v>2.2000000000000002</v>
      </c>
      <c r="D34" s="5" t="s">
        <v>387</v>
      </c>
      <c r="E34" s="6" t="s">
        <v>544</v>
      </c>
    </row>
    <row r="35" spans="1:5" ht="17" customHeight="1" x14ac:dyDescent="0.35">
      <c r="A35" t="s">
        <v>271</v>
      </c>
      <c r="B35" t="s">
        <v>248</v>
      </c>
      <c r="C35" s="4">
        <v>2.2000000000000002</v>
      </c>
      <c r="D35" s="5" t="s">
        <v>387</v>
      </c>
      <c r="E35" t="s">
        <v>545</v>
      </c>
    </row>
    <row r="36" spans="1:5" ht="17" customHeight="1" x14ac:dyDescent="0.35">
      <c r="A36" t="s">
        <v>78</v>
      </c>
      <c r="B36" t="s">
        <v>79</v>
      </c>
      <c r="C36" s="4">
        <v>2.2000000000000002</v>
      </c>
      <c r="D36" s="5" t="s">
        <v>387</v>
      </c>
      <c r="E36" t="s">
        <v>546</v>
      </c>
    </row>
    <row r="37" spans="1:5" ht="17" customHeight="1" x14ac:dyDescent="0.35">
      <c r="A37" t="s">
        <v>272</v>
      </c>
      <c r="B37" t="s">
        <v>249</v>
      </c>
      <c r="C37" s="4">
        <v>2.2000000000000002</v>
      </c>
      <c r="D37" s="5" t="s">
        <v>387</v>
      </c>
      <c r="E37" t="s">
        <v>547</v>
      </c>
    </row>
    <row r="38" spans="1:5" ht="17" customHeight="1" x14ac:dyDescent="0.35">
      <c r="A38" t="s">
        <v>273</v>
      </c>
      <c r="B38" t="s">
        <v>250</v>
      </c>
      <c r="C38" s="4">
        <v>2.2000000000000002</v>
      </c>
      <c r="D38" s="5" t="s">
        <v>387</v>
      </c>
      <c r="E38" t="s">
        <v>548</v>
      </c>
    </row>
    <row r="39" spans="1:5" ht="17" customHeight="1" x14ac:dyDescent="0.35">
      <c r="A39" t="s">
        <v>12</v>
      </c>
      <c r="B39" t="s">
        <v>13</v>
      </c>
      <c r="C39" s="4">
        <v>2.2000000000000002</v>
      </c>
      <c r="D39" s="5" t="s">
        <v>387</v>
      </c>
      <c r="E39" t="s">
        <v>549</v>
      </c>
    </row>
    <row r="40" spans="1:5" ht="17" customHeight="1" x14ac:dyDescent="0.35">
      <c r="A40" t="s">
        <v>274</v>
      </c>
      <c r="B40" t="s">
        <v>251</v>
      </c>
      <c r="C40" s="4">
        <v>2.2000000000000002</v>
      </c>
      <c r="D40" s="5" t="s">
        <v>387</v>
      </c>
      <c r="E40" s="6" t="s">
        <v>550</v>
      </c>
    </row>
    <row r="41" spans="1:5" ht="17" customHeight="1" x14ac:dyDescent="0.35">
      <c r="A41" t="s">
        <v>275</v>
      </c>
      <c r="B41" t="s">
        <v>252</v>
      </c>
      <c r="C41" s="4">
        <v>2.2000000000000002</v>
      </c>
      <c r="D41" s="5" t="s">
        <v>387</v>
      </c>
      <c r="E41" t="s">
        <v>551</v>
      </c>
    </row>
    <row r="42" spans="1:5" ht="17" customHeight="1" x14ac:dyDescent="0.35">
      <c r="A42" t="s">
        <v>276</v>
      </c>
      <c r="B42" t="s">
        <v>253</v>
      </c>
      <c r="C42" s="4">
        <v>2.2000000000000002</v>
      </c>
      <c r="D42" s="5" t="s">
        <v>387</v>
      </c>
      <c r="E42" s="6" t="s">
        <v>552</v>
      </c>
    </row>
    <row r="43" spans="1:5" ht="17" customHeight="1" x14ac:dyDescent="0.35">
      <c r="A43" t="s">
        <v>277</v>
      </c>
      <c r="B43" t="s">
        <v>254</v>
      </c>
      <c r="C43" s="4">
        <v>2.2000000000000002</v>
      </c>
      <c r="D43" s="5" t="s">
        <v>387</v>
      </c>
      <c r="E43" s="6" t="s">
        <v>553</v>
      </c>
    </row>
    <row r="44" spans="1:5" ht="17" customHeight="1" x14ac:dyDescent="0.35">
      <c r="A44" t="s">
        <v>278</v>
      </c>
      <c r="B44" t="s">
        <v>255</v>
      </c>
      <c r="C44" s="4">
        <v>2.2000000000000002</v>
      </c>
      <c r="D44" s="5" t="s">
        <v>387</v>
      </c>
      <c r="E44" t="s">
        <v>554</v>
      </c>
    </row>
    <row r="45" spans="1:5" ht="17" customHeight="1" x14ac:dyDescent="0.35">
      <c r="A45" t="s">
        <v>87</v>
      </c>
      <c r="B45" t="s">
        <v>74</v>
      </c>
      <c r="C45" s="4">
        <v>2.2000000000000002</v>
      </c>
      <c r="D45" s="5" t="s">
        <v>387</v>
      </c>
      <c r="E45" t="s">
        <v>555</v>
      </c>
    </row>
    <row r="46" spans="1:5" ht="17" customHeight="1" x14ac:dyDescent="0.35">
      <c r="A46" t="s">
        <v>178</v>
      </c>
      <c r="B46" t="s">
        <v>177</v>
      </c>
      <c r="C46" s="4">
        <v>2.2000000000000002</v>
      </c>
      <c r="D46" s="5" t="s">
        <v>387</v>
      </c>
      <c r="E46" t="s">
        <v>556</v>
      </c>
    </row>
    <row r="47" spans="1:5" ht="17" customHeight="1" x14ac:dyDescent="0.35">
      <c r="A47" t="s">
        <v>279</v>
      </c>
      <c r="B47" t="s">
        <v>256</v>
      </c>
      <c r="C47" s="4">
        <v>2.2000000000000002</v>
      </c>
      <c r="D47" s="5" t="s">
        <v>387</v>
      </c>
      <c r="E47" s="6" t="s">
        <v>557</v>
      </c>
    </row>
    <row r="48" spans="1:5" ht="17" customHeight="1" x14ac:dyDescent="0.35">
      <c r="A48" t="s">
        <v>280</v>
      </c>
      <c r="B48" t="s">
        <v>257</v>
      </c>
      <c r="C48" s="4">
        <v>2.2000000000000002</v>
      </c>
      <c r="D48" s="5" t="s">
        <v>387</v>
      </c>
      <c r="E48" t="s">
        <v>558</v>
      </c>
    </row>
    <row r="49" spans="1:5" ht="17" customHeight="1" x14ac:dyDescent="0.35">
      <c r="A49" t="s">
        <v>281</v>
      </c>
      <c r="B49" t="s">
        <v>5</v>
      </c>
      <c r="C49" s="4">
        <v>2.2000000000000002</v>
      </c>
      <c r="D49" s="5" t="s">
        <v>387</v>
      </c>
      <c r="E49" s="6" t="s">
        <v>559</v>
      </c>
    </row>
    <row r="50" spans="1:5" ht="17" customHeight="1" x14ac:dyDescent="0.35">
      <c r="A50" t="s">
        <v>282</v>
      </c>
      <c r="B50" t="s">
        <v>258</v>
      </c>
      <c r="C50" s="4">
        <v>2.2000000000000002</v>
      </c>
      <c r="D50" s="5" t="s">
        <v>387</v>
      </c>
      <c r="E50" t="s">
        <v>560</v>
      </c>
    </row>
    <row r="51" spans="1:5" ht="17" customHeight="1" x14ac:dyDescent="0.35">
      <c r="A51" t="s">
        <v>283</v>
      </c>
      <c r="B51" t="s">
        <v>259</v>
      </c>
      <c r="C51" s="4">
        <v>2.2000000000000002</v>
      </c>
      <c r="D51" s="5" t="s">
        <v>387</v>
      </c>
      <c r="E51" t="s">
        <v>561</v>
      </c>
    </row>
    <row r="52" spans="1:5" ht="17" customHeight="1" x14ac:dyDescent="0.35">
      <c r="A52" t="s">
        <v>284</v>
      </c>
      <c r="B52" t="s">
        <v>260</v>
      </c>
      <c r="C52" s="4">
        <v>2.2000000000000002</v>
      </c>
      <c r="D52" s="5" t="s">
        <v>387</v>
      </c>
      <c r="E52" t="s">
        <v>562</v>
      </c>
    </row>
    <row r="53" spans="1:5" ht="17" customHeight="1" x14ac:dyDescent="0.35">
      <c r="A53" t="s">
        <v>285</v>
      </c>
      <c r="B53" t="s">
        <v>261</v>
      </c>
      <c r="C53" s="4">
        <v>2.2000000000000002</v>
      </c>
      <c r="D53" s="5" t="s">
        <v>387</v>
      </c>
      <c r="E53" t="s">
        <v>563</v>
      </c>
    </row>
    <row r="54" spans="1:5" ht="17" customHeight="1" x14ac:dyDescent="0.35">
      <c r="A54" t="s">
        <v>286</v>
      </c>
      <c r="B54" t="s">
        <v>262</v>
      </c>
      <c r="C54" s="4">
        <v>2.2000000000000002</v>
      </c>
      <c r="D54" s="5" t="s">
        <v>387</v>
      </c>
      <c r="E54" t="s">
        <v>564</v>
      </c>
    </row>
    <row r="55" spans="1:5" ht="17" customHeight="1" x14ac:dyDescent="0.35">
      <c r="A55" t="s">
        <v>287</v>
      </c>
      <c r="B55" t="s">
        <v>263</v>
      </c>
      <c r="C55" s="4">
        <v>2.2000000000000002</v>
      </c>
      <c r="D55" s="5" t="s">
        <v>387</v>
      </c>
      <c r="E55" t="s">
        <v>565</v>
      </c>
    </row>
    <row r="56" spans="1:5" ht="17" customHeight="1" x14ac:dyDescent="0.35">
      <c r="A56" t="s">
        <v>288</v>
      </c>
      <c r="B56" t="s">
        <v>264</v>
      </c>
      <c r="C56" s="4">
        <v>2.2000000000000002</v>
      </c>
      <c r="D56" s="5" t="s">
        <v>387</v>
      </c>
      <c r="E56" t="s">
        <v>566</v>
      </c>
    </row>
    <row r="57" spans="1:5" ht="17" customHeight="1" x14ac:dyDescent="0.35">
      <c r="A57" t="s">
        <v>3</v>
      </c>
      <c r="B57" t="s">
        <v>4</v>
      </c>
      <c r="C57" s="4">
        <v>2.2000000000000002</v>
      </c>
      <c r="D57" s="5" t="s">
        <v>387</v>
      </c>
      <c r="E57" t="s">
        <v>567</v>
      </c>
    </row>
    <row r="58" spans="1:5" ht="17" customHeight="1" x14ac:dyDescent="0.35">
      <c r="A58" t="s">
        <v>82</v>
      </c>
      <c r="B58" t="s">
        <v>83</v>
      </c>
      <c r="C58" s="4">
        <v>2.2000000000000002</v>
      </c>
      <c r="D58" s="5" t="s">
        <v>387</v>
      </c>
      <c r="E58" t="s">
        <v>569</v>
      </c>
    </row>
    <row r="59" spans="1:5" ht="17" customHeight="1" x14ac:dyDescent="0.35">
      <c r="A59" t="s">
        <v>84</v>
      </c>
      <c r="B59" t="s">
        <v>85</v>
      </c>
      <c r="C59" s="4">
        <v>2.2000000000000002</v>
      </c>
      <c r="D59" s="5" t="s">
        <v>387</v>
      </c>
      <c r="E59" t="s">
        <v>568</v>
      </c>
    </row>
    <row r="60" spans="1:5" ht="17" customHeight="1" x14ac:dyDescent="0.35">
      <c r="A60" t="s">
        <v>183</v>
      </c>
      <c r="B60" t="s">
        <v>184</v>
      </c>
      <c r="C60" s="4">
        <v>2.2000000000000002</v>
      </c>
      <c r="D60" s="5" t="s">
        <v>387</v>
      </c>
      <c r="E60" t="s">
        <v>570</v>
      </c>
    </row>
    <row r="61" spans="1:5" ht="17" customHeight="1" x14ac:dyDescent="0.35">
      <c r="A61" t="s">
        <v>189</v>
      </c>
      <c r="B61" t="s">
        <v>190</v>
      </c>
      <c r="C61" s="4">
        <v>2.2000000000000002</v>
      </c>
      <c r="D61" s="5" t="s">
        <v>387</v>
      </c>
      <c r="E61" t="s">
        <v>571</v>
      </c>
    </row>
    <row r="62" spans="1:5" ht="17" customHeight="1" x14ac:dyDescent="0.35">
      <c r="A62" t="s">
        <v>185</v>
      </c>
      <c r="B62" t="s">
        <v>186</v>
      </c>
      <c r="C62" s="4">
        <v>2.2000000000000002</v>
      </c>
      <c r="D62" s="5" t="s">
        <v>387</v>
      </c>
      <c r="E62" t="s">
        <v>572</v>
      </c>
    </row>
    <row r="63" spans="1:5" ht="17" customHeight="1" x14ac:dyDescent="0.35">
      <c r="A63" t="s">
        <v>181</v>
      </c>
      <c r="B63" t="s">
        <v>182</v>
      </c>
      <c r="C63" s="4">
        <v>2.2000000000000002</v>
      </c>
      <c r="D63" s="5" t="s">
        <v>387</v>
      </c>
      <c r="E63" t="s">
        <v>573</v>
      </c>
    </row>
    <row r="64" spans="1:5" ht="17" customHeight="1" x14ac:dyDescent="0.35">
      <c r="A64" t="s">
        <v>187</v>
      </c>
      <c r="B64" t="s">
        <v>188</v>
      </c>
      <c r="C64" s="4">
        <v>2.2000000000000002</v>
      </c>
      <c r="D64" s="5" t="s">
        <v>387</v>
      </c>
      <c r="E64" t="s">
        <v>574</v>
      </c>
    </row>
    <row r="65" spans="1:5" ht="17" customHeight="1" x14ac:dyDescent="0.35">
      <c r="A65" t="s">
        <v>289</v>
      </c>
      <c r="B65" t="s">
        <v>265</v>
      </c>
      <c r="C65" s="4">
        <v>2.2000000000000002</v>
      </c>
      <c r="D65" s="5" t="s">
        <v>387</v>
      </c>
      <c r="E65" t="s">
        <v>575</v>
      </c>
    </row>
    <row r="66" spans="1:5" ht="17" customHeight="1" x14ac:dyDescent="0.35">
      <c r="A66" t="s">
        <v>290</v>
      </c>
      <c r="B66" t="s">
        <v>266</v>
      </c>
      <c r="C66" s="4">
        <v>2.2000000000000002</v>
      </c>
      <c r="D66" s="5" t="s">
        <v>387</v>
      </c>
      <c r="E66" t="s">
        <v>577</v>
      </c>
    </row>
    <row r="67" spans="1:5" ht="17" customHeight="1" x14ac:dyDescent="0.35">
      <c r="A67" t="s">
        <v>10</v>
      </c>
      <c r="B67" t="s">
        <v>11</v>
      </c>
      <c r="C67" s="4">
        <v>2.2000000000000002</v>
      </c>
      <c r="D67" s="5" t="s">
        <v>387</v>
      </c>
      <c r="E67" t="s">
        <v>576</v>
      </c>
    </row>
    <row r="68" spans="1:5" ht="17" customHeight="1" x14ac:dyDescent="0.35">
      <c r="A68" t="s">
        <v>80</v>
      </c>
      <c r="B68" t="s">
        <v>81</v>
      </c>
      <c r="C68" s="4">
        <v>2.2000000000000002</v>
      </c>
      <c r="D68" s="5" t="s">
        <v>387</v>
      </c>
      <c r="E68" t="s">
        <v>578</v>
      </c>
    </row>
    <row r="69" spans="1:5" ht="17" customHeight="1" x14ac:dyDescent="0.35">
      <c r="A69" t="s">
        <v>77</v>
      </c>
      <c r="B69" t="s">
        <v>267</v>
      </c>
      <c r="C69" s="4">
        <v>2.2000000000000002</v>
      </c>
      <c r="D69" s="5" t="s">
        <v>387</v>
      </c>
      <c r="E69" t="s">
        <v>579</v>
      </c>
    </row>
    <row r="70" spans="1:5" ht="17" customHeight="1" x14ac:dyDescent="0.35">
      <c r="A70" t="s">
        <v>412</v>
      </c>
      <c r="B70" s="1" t="s">
        <v>411</v>
      </c>
      <c r="C70" s="4">
        <v>2.2000000000000002</v>
      </c>
      <c r="D70" s="5" t="s">
        <v>387</v>
      </c>
      <c r="E70" t="s">
        <v>580</v>
      </c>
    </row>
    <row r="71" spans="1:5" ht="17" customHeight="1" x14ac:dyDescent="0.35">
      <c r="A71" t="s">
        <v>291</v>
      </c>
      <c r="B71" t="s">
        <v>268</v>
      </c>
      <c r="C71" s="4">
        <v>2.2000000000000002</v>
      </c>
      <c r="D71" s="5" t="s">
        <v>387</v>
      </c>
      <c r="E71" t="s">
        <v>581</v>
      </c>
    </row>
    <row r="72" spans="1:5" ht="17" customHeight="1" x14ac:dyDescent="0.35">
      <c r="A72" t="s">
        <v>6</v>
      </c>
      <c r="B72" t="s">
        <v>7</v>
      </c>
      <c r="C72" s="4">
        <v>2.2000000000000002</v>
      </c>
      <c r="D72" s="5" t="s">
        <v>387</v>
      </c>
      <c r="E72" t="s">
        <v>582</v>
      </c>
    </row>
    <row r="73" spans="1:5" ht="17" customHeight="1" x14ac:dyDescent="0.35">
      <c r="A73" t="s">
        <v>292</v>
      </c>
      <c r="B73" t="s">
        <v>269</v>
      </c>
      <c r="C73" s="4">
        <v>2.2000000000000002</v>
      </c>
      <c r="D73" s="5" t="s">
        <v>387</v>
      </c>
      <c r="E73" t="s">
        <v>583</v>
      </c>
    </row>
    <row r="74" spans="1:5" ht="17" customHeight="1" x14ac:dyDescent="0.35">
      <c r="A74" t="s">
        <v>293</v>
      </c>
      <c r="B74" t="s">
        <v>270</v>
      </c>
      <c r="C74" s="4">
        <v>2.2000000000000002</v>
      </c>
      <c r="D74" s="5" t="s">
        <v>387</v>
      </c>
      <c r="E74" t="s">
        <v>584</v>
      </c>
    </row>
    <row r="75" spans="1:5" ht="17" customHeight="1" x14ac:dyDescent="0.35">
      <c r="A75" t="s">
        <v>294</v>
      </c>
      <c r="B75" t="s">
        <v>295</v>
      </c>
      <c r="C75" s="4">
        <v>2.2000000000000002</v>
      </c>
      <c r="D75" s="5" t="s">
        <v>387</v>
      </c>
      <c r="E75" t="s">
        <v>585</v>
      </c>
    </row>
    <row r="76" spans="1:5" ht="17" customHeight="1" x14ac:dyDescent="0.35">
      <c r="A76" t="s">
        <v>204</v>
      </c>
      <c r="B76" t="s">
        <v>205</v>
      </c>
      <c r="C76" s="4">
        <v>2.2000000000000002</v>
      </c>
      <c r="D76" s="5" t="s">
        <v>387</v>
      </c>
    </row>
    <row r="77" spans="1:5" ht="17" customHeight="1" x14ac:dyDescent="0.35"/>
    <row r="78" spans="1:5" ht="17" customHeight="1" x14ac:dyDescent="0.35"/>
    <row r="79" spans="1:5" ht="17" customHeight="1" x14ac:dyDescent="0.35"/>
    <row r="80" spans="1:5" ht="17" customHeight="1" x14ac:dyDescent="0.35"/>
    <row r="81" ht="17" customHeight="1" x14ac:dyDescent="0.35"/>
    <row r="82" ht="17" customHeight="1" x14ac:dyDescent="0.35"/>
    <row r="83" ht="17" customHeight="1" x14ac:dyDescent="0.35"/>
    <row r="84" ht="17" customHeight="1" x14ac:dyDescent="0.35"/>
    <row r="85" ht="17" customHeight="1" x14ac:dyDescent="0.35"/>
    <row r="86" ht="17" customHeight="1" x14ac:dyDescent="0.35"/>
    <row r="87" ht="17" customHeight="1" x14ac:dyDescent="0.35"/>
    <row r="88" ht="17" customHeight="1" x14ac:dyDescent="0.35"/>
    <row r="89" ht="17" customHeight="1" x14ac:dyDescent="0.35"/>
    <row r="90" ht="17" customHeight="1" x14ac:dyDescent="0.35"/>
    <row r="91" ht="17" customHeight="1" x14ac:dyDescent="0.35"/>
    <row r="92" ht="17" customHeight="1" x14ac:dyDescent="0.35"/>
    <row r="93" ht="17" customHeight="1" x14ac:dyDescent="0.35"/>
    <row r="94" ht="17" customHeight="1" x14ac:dyDescent="0.35"/>
    <row r="95" ht="17" customHeight="1" x14ac:dyDescent="0.35"/>
    <row r="96" ht="17" customHeight="1" x14ac:dyDescent="0.35"/>
    <row r="97" ht="17" customHeight="1" x14ac:dyDescent="0.35"/>
    <row r="98" ht="17" customHeight="1" x14ac:dyDescent="0.35"/>
    <row r="99" ht="17" customHeight="1" x14ac:dyDescent="0.35"/>
    <row r="100" ht="17" customHeight="1" x14ac:dyDescent="0.35"/>
    <row r="101" ht="17" customHeight="1" x14ac:dyDescent="0.35"/>
    <row r="102" ht="17" customHeight="1" x14ac:dyDescent="0.35"/>
    <row r="103" ht="17" customHeight="1" x14ac:dyDescent="0.35"/>
    <row r="104" ht="17" customHeight="1" x14ac:dyDescent="0.35"/>
    <row r="105" ht="17" customHeight="1" x14ac:dyDescent="0.35"/>
    <row r="106" ht="17" customHeight="1" x14ac:dyDescent="0.35"/>
    <row r="107" ht="17" customHeight="1" x14ac:dyDescent="0.35"/>
    <row r="108" ht="17" customHeight="1" x14ac:dyDescent="0.35"/>
    <row r="109" ht="17" customHeight="1" x14ac:dyDescent="0.35"/>
    <row r="110" ht="17" customHeight="1" x14ac:dyDescent="0.35"/>
    <row r="111" ht="17" customHeight="1" x14ac:dyDescent="0.35"/>
    <row r="112" ht="17" customHeight="1" x14ac:dyDescent="0.35"/>
    <row r="113" ht="17" customHeight="1" x14ac:dyDescent="0.35"/>
    <row r="114" ht="17" customHeight="1" x14ac:dyDescent="0.35"/>
    <row r="115" ht="17" customHeight="1" x14ac:dyDescent="0.35"/>
    <row r="116" ht="17" customHeight="1" x14ac:dyDescent="0.35"/>
    <row r="117" ht="17" customHeight="1" x14ac:dyDescent="0.35"/>
    <row r="118" ht="17" customHeight="1" x14ac:dyDescent="0.35"/>
    <row r="119" ht="17" customHeight="1" x14ac:dyDescent="0.35"/>
    <row r="120" ht="17" customHeight="1" x14ac:dyDescent="0.35"/>
    <row r="121" ht="17" customHeight="1" x14ac:dyDescent="0.35"/>
    <row r="122" ht="17" customHeight="1" x14ac:dyDescent="0.35"/>
    <row r="123" ht="17" customHeight="1" x14ac:dyDescent="0.35"/>
    <row r="124" ht="17" customHeight="1" x14ac:dyDescent="0.35"/>
    <row r="125" ht="17" customHeight="1" x14ac:dyDescent="0.35"/>
    <row r="126" ht="17" customHeight="1" x14ac:dyDescent="0.35"/>
    <row r="127" ht="17" customHeight="1" x14ac:dyDescent="0.35"/>
    <row r="128" ht="17" customHeight="1" x14ac:dyDescent="0.35"/>
    <row r="129" spans="1:2" ht="17" customHeight="1" x14ac:dyDescent="0.35"/>
    <row r="130" spans="1:2" ht="17" customHeight="1" x14ac:dyDescent="0.35"/>
    <row r="132" spans="1:2" x14ac:dyDescent="0.35">
      <c r="A132" t="s">
        <v>181</v>
      </c>
      <c r="B132" t="s">
        <v>182</v>
      </c>
    </row>
    <row r="133" spans="1:2" x14ac:dyDescent="0.35">
      <c r="A133" t="s">
        <v>183</v>
      </c>
      <c r="B133" t="s">
        <v>184</v>
      </c>
    </row>
    <row r="134" spans="1:2" x14ac:dyDescent="0.35">
      <c r="A134" t="s">
        <v>185</v>
      </c>
      <c r="B134" t="s">
        <v>186</v>
      </c>
    </row>
    <row r="135" spans="1:2" x14ac:dyDescent="0.35">
      <c r="A135" t="s">
        <v>187</v>
      </c>
      <c r="B135" t="s">
        <v>188</v>
      </c>
    </row>
    <row r="136" spans="1:2" x14ac:dyDescent="0.35">
      <c r="A136" t="s">
        <v>189</v>
      </c>
      <c r="B136" t="s">
        <v>190</v>
      </c>
    </row>
    <row r="137" spans="1:2" x14ac:dyDescent="0.35">
      <c r="A137" t="s">
        <v>204</v>
      </c>
      <c r="B137" t="s">
        <v>205</v>
      </c>
    </row>
    <row r="140" spans="1:2" x14ac:dyDescent="0.35">
      <c r="A140" t="s">
        <v>19</v>
      </c>
      <c r="B140" t="s">
        <v>18</v>
      </c>
    </row>
    <row r="141" spans="1:2" x14ac:dyDescent="0.35">
      <c r="A141" t="s">
        <v>21</v>
      </c>
      <c r="B141" t="s">
        <v>20</v>
      </c>
    </row>
    <row r="142" spans="1:2" x14ac:dyDescent="0.35">
      <c r="A142" t="s">
        <v>23</v>
      </c>
      <c r="B142" t="s">
        <v>22</v>
      </c>
    </row>
    <row r="143" spans="1:2" x14ac:dyDescent="0.35">
      <c r="A143" t="s">
        <v>30</v>
      </c>
      <c r="B143" t="s">
        <v>24</v>
      </c>
    </row>
    <row r="144" spans="1:2" x14ac:dyDescent="0.35">
      <c r="A144" t="s">
        <v>31</v>
      </c>
      <c r="B144" t="s">
        <v>25</v>
      </c>
    </row>
    <row r="145" spans="1:2" x14ac:dyDescent="0.35">
      <c r="A145" t="s">
        <v>32</v>
      </c>
      <c r="B145" t="s">
        <v>26</v>
      </c>
    </row>
    <row r="146" spans="1:2" x14ac:dyDescent="0.35">
      <c r="A146" t="s">
        <v>33</v>
      </c>
      <c r="B146" t="s">
        <v>27</v>
      </c>
    </row>
    <row r="147" spans="1:2" x14ac:dyDescent="0.35">
      <c r="A147" t="s">
        <v>34</v>
      </c>
      <c r="B147" t="s">
        <v>28</v>
      </c>
    </row>
    <row r="148" spans="1:2" x14ac:dyDescent="0.35">
      <c r="A148" t="s">
        <v>35</v>
      </c>
      <c r="B148" t="s">
        <v>29</v>
      </c>
    </row>
    <row r="149" spans="1:2" x14ac:dyDescent="0.35">
      <c r="A149" t="s">
        <v>54</v>
      </c>
      <c r="B149" t="s">
        <v>36</v>
      </c>
    </row>
    <row r="150" spans="1:2" x14ac:dyDescent="0.35">
      <c r="A150" t="s">
        <v>67</v>
      </c>
      <c r="B150" t="s">
        <v>37</v>
      </c>
    </row>
    <row r="151" spans="1:2" x14ac:dyDescent="0.35">
      <c r="A151" t="s">
        <v>68</v>
      </c>
      <c r="B151" t="s">
        <v>38</v>
      </c>
    </row>
    <row r="152" spans="1:2" x14ac:dyDescent="0.35">
      <c r="A152" t="s">
        <v>69</v>
      </c>
      <c r="B152" t="s">
        <v>39</v>
      </c>
    </row>
    <row r="153" spans="1:2" x14ac:dyDescent="0.35">
      <c r="B153" s="1" t="s">
        <v>40</v>
      </c>
    </row>
    <row r="154" spans="1:2" x14ac:dyDescent="0.35">
      <c r="B154" s="1" t="s">
        <v>41</v>
      </c>
    </row>
    <row r="155" spans="1:2" x14ac:dyDescent="0.35">
      <c r="A155" t="s">
        <v>55</v>
      </c>
      <c r="B155" t="s">
        <v>42</v>
      </c>
    </row>
    <row r="156" spans="1:2" x14ac:dyDescent="0.35">
      <c r="A156" t="s">
        <v>56</v>
      </c>
      <c r="B156" t="s">
        <v>43</v>
      </c>
    </row>
    <row r="157" spans="1:2" x14ac:dyDescent="0.35">
      <c r="A157" t="s">
        <v>57</v>
      </c>
      <c r="B157" t="s">
        <v>44</v>
      </c>
    </row>
    <row r="158" spans="1:2" x14ac:dyDescent="0.35">
      <c r="A158" t="s">
        <v>191</v>
      </c>
      <c r="B158" t="s">
        <v>192</v>
      </c>
    </row>
    <row r="159" spans="1:2" x14ac:dyDescent="0.35">
      <c r="A159" t="s">
        <v>193</v>
      </c>
      <c r="B159" t="s">
        <v>194</v>
      </c>
    </row>
    <row r="160" spans="1:2" x14ac:dyDescent="0.35">
      <c r="A160" t="s">
        <v>58</v>
      </c>
      <c r="B160" t="s">
        <v>45</v>
      </c>
    </row>
    <row r="161" spans="1:2" x14ac:dyDescent="0.35">
      <c r="A161" t="s">
        <v>59</v>
      </c>
      <c r="B161" t="s">
        <v>46</v>
      </c>
    </row>
    <row r="162" spans="1:2" x14ac:dyDescent="0.35">
      <c r="A162" t="s">
        <v>60</v>
      </c>
      <c r="B162" t="s">
        <v>47</v>
      </c>
    </row>
    <row r="163" spans="1:2" x14ac:dyDescent="0.35">
      <c r="A163" t="s">
        <v>61</v>
      </c>
      <c r="B163" t="s">
        <v>48</v>
      </c>
    </row>
    <row r="164" spans="1:2" x14ac:dyDescent="0.35">
      <c r="A164" t="s">
        <v>195</v>
      </c>
      <c r="B164" t="s">
        <v>196</v>
      </c>
    </row>
    <row r="165" spans="1:2" x14ac:dyDescent="0.35">
      <c r="A165" t="s">
        <v>62</v>
      </c>
      <c r="B165" t="s">
        <v>49</v>
      </c>
    </row>
    <row r="166" spans="1:2" x14ac:dyDescent="0.35">
      <c r="A166" t="s">
        <v>63</v>
      </c>
      <c r="B166" t="s">
        <v>50</v>
      </c>
    </row>
    <row r="167" spans="1:2" x14ac:dyDescent="0.35">
      <c r="A167" t="s">
        <v>64</v>
      </c>
      <c r="B167" t="s">
        <v>51</v>
      </c>
    </row>
    <row r="168" spans="1:2" x14ac:dyDescent="0.35">
      <c r="A168" t="s">
        <v>65</v>
      </c>
      <c r="B168" t="s">
        <v>52</v>
      </c>
    </row>
    <row r="169" spans="1:2" x14ac:dyDescent="0.35">
      <c r="A169" t="s">
        <v>66</v>
      </c>
      <c r="B169" t="s">
        <v>53</v>
      </c>
    </row>
    <row r="170" spans="1:2" x14ac:dyDescent="0.35">
      <c r="A170" t="s">
        <v>72</v>
      </c>
      <c r="B170" t="s">
        <v>70</v>
      </c>
    </row>
    <row r="171" spans="1:2" x14ac:dyDescent="0.35">
      <c r="A171" t="s">
        <v>73</v>
      </c>
      <c r="B171" t="s">
        <v>71</v>
      </c>
    </row>
    <row r="173" spans="1:2" x14ac:dyDescent="0.35">
      <c r="A173" t="s">
        <v>88</v>
      </c>
      <c r="B173" t="s">
        <v>90</v>
      </c>
    </row>
    <row r="174" spans="1:2" x14ac:dyDescent="0.35">
      <c r="A174" t="s">
        <v>89</v>
      </c>
      <c r="B174" t="s">
        <v>91</v>
      </c>
    </row>
    <row r="175" spans="1:2" x14ac:dyDescent="0.35">
      <c r="A175" t="s">
        <v>92</v>
      </c>
      <c r="B175" t="s">
        <v>93</v>
      </c>
    </row>
    <row r="176" spans="1:2" x14ac:dyDescent="0.35">
      <c r="A176" t="s">
        <v>94</v>
      </c>
      <c r="B176" t="s">
        <v>95</v>
      </c>
    </row>
    <row r="177" spans="1:2" x14ac:dyDescent="0.35">
      <c r="A177" t="s">
        <v>96</v>
      </c>
      <c r="B177" t="s">
        <v>97</v>
      </c>
    </row>
    <row r="178" spans="1:2" x14ac:dyDescent="0.35">
      <c r="A178" t="s">
        <v>98</v>
      </c>
      <c r="B178" t="s">
        <v>103</v>
      </c>
    </row>
    <row r="179" spans="1:2" x14ac:dyDescent="0.35">
      <c r="A179" t="s">
        <v>99</v>
      </c>
      <c r="B179" t="s">
        <v>75</v>
      </c>
    </row>
    <row r="180" spans="1:2" x14ac:dyDescent="0.35">
      <c r="A180" t="s">
        <v>100</v>
      </c>
      <c r="B180" t="s">
        <v>104</v>
      </c>
    </row>
    <row r="184" spans="1:2" x14ac:dyDescent="0.35">
      <c r="A184" t="s">
        <v>101</v>
      </c>
      <c r="B184" t="s">
        <v>105</v>
      </c>
    </row>
    <row r="185" spans="1:2" x14ac:dyDescent="0.35">
      <c r="A185" t="s">
        <v>102</v>
      </c>
      <c r="B185" t="s">
        <v>106</v>
      </c>
    </row>
    <row r="186" spans="1:2" x14ac:dyDescent="0.35">
      <c r="A186" t="s">
        <v>107</v>
      </c>
      <c r="B186" t="s">
        <v>108</v>
      </c>
    </row>
    <row r="187" spans="1:2" x14ac:dyDescent="0.35">
      <c r="A187" t="s">
        <v>109</v>
      </c>
      <c r="B187" t="s">
        <v>110</v>
      </c>
    </row>
    <row r="188" spans="1:2" x14ac:dyDescent="0.35">
      <c r="A188" t="s">
        <v>111</v>
      </c>
      <c r="B188" t="s">
        <v>112</v>
      </c>
    </row>
    <row r="189" spans="1:2" x14ac:dyDescent="0.35">
      <c r="A189" t="s">
        <v>113</v>
      </c>
      <c r="B189" t="s">
        <v>114</v>
      </c>
    </row>
    <row r="190" spans="1:2" x14ac:dyDescent="0.35">
      <c r="A190" t="s">
        <v>115</v>
      </c>
      <c r="B190" t="s">
        <v>116</v>
      </c>
    </row>
    <row r="191" spans="1:2" x14ac:dyDescent="0.35">
      <c r="A191" t="s">
        <v>117</v>
      </c>
      <c r="B191" t="s">
        <v>118</v>
      </c>
    </row>
    <row r="192" spans="1:2" x14ac:dyDescent="0.35">
      <c r="A192" t="s">
        <v>119</v>
      </c>
      <c r="B192" t="s">
        <v>120</v>
      </c>
    </row>
    <row r="193" spans="1:2" x14ac:dyDescent="0.35">
      <c r="A193" t="s">
        <v>121</v>
      </c>
      <c r="B193" t="s">
        <v>122</v>
      </c>
    </row>
    <row r="198" spans="1:2" ht="15" x14ac:dyDescent="0.4">
      <c r="A198" t="s">
        <v>199</v>
      </c>
      <c r="B198" s="2" t="s">
        <v>198</v>
      </c>
    </row>
    <row r="207" spans="1:2" ht="21" customHeight="1" x14ac:dyDescent="0.35"/>
    <row r="209" spans="1:2" x14ac:dyDescent="0.35">
      <c r="A209" t="s">
        <v>123</v>
      </c>
      <c r="B209" t="s">
        <v>124</v>
      </c>
    </row>
    <row r="210" spans="1:2" x14ac:dyDescent="0.35">
      <c r="A210" t="s">
        <v>125</v>
      </c>
      <c r="B210" t="s">
        <v>126</v>
      </c>
    </row>
    <row r="211" spans="1:2" x14ac:dyDescent="0.35">
      <c r="A211" t="s">
        <v>127</v>
      </c>
      <c r="B211" t="s">
        <v>128</v>
      </c>
    </row>
    <row r="212" spans="1:2" x14ac:dyDescent="0.35">
      <c r="A212" t="s">
        <v>129</v>
      </c>
      <c r="B212" t="s">
        <v>130</v>
      </c>
    </row>
    <row r="213" spans="1:2" x14ac:dyDescent="0.35">
      <c r="A213" t="s">
        <v>131</v>
      </c>
      <c r="B213" t="s">
        <v>132</v>
      </c>
    </row>
    <row r="214" spans="1:2" x14ac:dyDescent="0.35">
      <c r="A214" t="s">
        <v>133</v>
      </c>
      <c r="B214" t="s">
        <v>134</v>
      </c>
    </row>
    <row r="215" spans="1:2" x14ac:dyDescent="0.35">
      <c r="A215" t="s">
        <v>135</v>
      </c>
      <c r="B215" t="s">
        <v>136</v>
      </c>
    </row>
    <row r="216" spans="1:2" x14ac:dyDescent="0.35">
      <c r="A216" t="s">
        <v>137</v>
      </c>
      <c r="B216" t="s">
        <v>138</v>
      </c>
    </row>
    <row r="217" spans="1:2" x14ac:dyDescent="0.35">
      <c r="A217" t="s">
        <v>139</v>
      </c>
      <c r="B217" t="s">
        <v>140</v>
      </c>
    </row>
    <row r="218" spans="1:2" x14ac:dyDescent="0.35">
      <c r="A218" t="s">
        <v>141</v>
      </c>
      <c r="B218" t="s">
        <v>142</v>
      </c>
    </row>
    <row r="220" spans="1:2" x14ac:dyDescent="0.35">
      <c r="A220" t="s">
        <v>143</v>
      </c>
      <c r="B220" t="s">
        <v>144</v>
      </c>
    </row>
    <row r="221" spans="1:2" x14ac:dyDescent="0.35">
      <c r="A221" t="s">
        <v>145</v>
      </c>
      <c r="B221" t="s">
        <v>146</v>
      </c>
    </row>
    <row r="222" spans="1:2" x14ac:dyDescent="0.35">
      <c r="A222" t="s">
        <v>147</v>
      </c>
      <c r="B222" t="s">
        <v>148</v>
      </c>
    </row>
    <row r="223" spans="1:2" x14ac:dyDescent="0.35">
      <c r="A223" t="s">
        <v>149</v>
      </c>
      <c r="B223" t="s">
        <v>150</v>
      </c>
    </row>
    <row r="224" spans="1:2" x14ac:dyDescent="0.35">
      <c r="A224" t="s">
        <v>151</v>
      </c>
      <c r="B224" t="s">
        <v>152</v>
      </c>
    </row>
    <row r="225" spans="1:2" x14ac:dyDescent="0.35">
      <c r="A225" t="s">
        <v>153</v>
      </c>
      <c r="B225" t="s">
        <v>154</v>
      </c>
    </row>
    <row r="226" spans="1:2" x14ac:dyDescent="0.35">
      <c r="A226" t="s">
        <v>155</v>
      </c>
      <c r="B226" t="s">
        <v>156</v>
      </c>
    </row>
    <row r="227" spans="1:2" x14ac:dyDescent="0.35">
      <c r="A227" t="s">
        <v>157</v>
      </c>
      <c r="B227" t="s">
        <v>158</v>
      </c>
    </row>
    <row r="228" spans="1:2" x14ac:dyDescent="0.35">
      <c r="A228" t="s">
        <v>159</v>
      </c>
      <c r="B228" t="s">
        <v>160</v>
      </c>
    </row>
    <row r="229" spans="1:2" x14ac:dyDescent="0.35">
      <c r="A229" t="s">
        <v>161</v>
      </c>
      <c r="B229" t="s">
        <v>162</v>
      </c>
    </row>
    <row r="231" spans="1:2" x14ac:dyDescent="0.35">
      <c r="A231" t="s">
        <v>163</v>
      </c>
      <c r="B231" t="s">
        <v>164</v>
      </c>
    </row>
    <row r="232" spans="1:2" x14ac:dyDescent="0.35">
      <c r="A232" t="s">
        <v>165</v>
      </c>
      <c r="B232" t="s">
        <v>166</v>
      </c>
    </row>
    <row r="233" spans="1:2" x14ac:dyDescent="0.35">
      <c r="A233" t="s">
        <v>167</v>
      </c>
      <c r="B233" t="s">
        <v>168</v>
      </c>
    </row>
    <row r="234" spans="1:2" x14ac:dyDescent="0.35">
      <c r="A234" t="s">
        <v>169</v>
      </c>
      <c r="B234" t="s">
        <v>170</v>
      </c>
    </row>
    <row r="235" spans="1:2" x14ac:dyDescent="0.35">
      <c r="A235" t="s">
        <v>171</v>
      </c>
      <c r="B235" t="s">
        <v>172</v>
      </c>
    </row>
    <row r="236" spans="1:2" x14ac:dyDescent="0.35">
      <c r="A236" t="s">
        <v>173</v>
      </c>
      <c r="B236" t="s">
        <v>174</v>
      </c>
    </row>
    <row r="237" spans="1:2" x14ac:dyDescent="0.35">
      <c r="A237" t="s">
        <v>175</v>
      </c>
      <c r="B237" t="s">
        <v>176</v>
      </c>
    </row>
  </sheetData>
  <hyperlinks>
    <hyperlink ref="E3" r:id="rId1" xr:uid="{BBF8C40D-4CBC-4400-9805-BD660C5CA8A4}"/>
    <hyperlink ref="E4" r:id="rId2" xr:uid="{7A98BB22-A730-4BD0-A494-B14A2FA62F3A}"/>
    <hyperlink ref="E5" r:id="rId3" xr:uid="{7C72A177-D64E-45EC-A0DF-9B1DE0EF4AAF}"/>
    <hyperlink ref="E6" r:id="rId4" xr:uid="{9475F88D-9C24-4D0D-8B8D-E3CB6ADB1C10}"/>
    <hyperlink ref="E7" r:id="rId5" xr:uid="{ADBB8ED7-A6CC-4699-BDB4-EF85AF37FC44}"/>
    <hyperlink ref="E8" r:id="rId6" xr:uid="{A7B501CF-9A6E-4903-980B-B666828498E8}"/>
    <hyperlink ref="E9" r:id="rId7" xr:uid="{AFB4AAC9-9F56-4D13-ACA2-4840444841F5}"/>
    <hyperlink ref="E10" r:id="rId8" xr:uid="{5AC25291-C02D-4589-B4F3-D1B54714C272}"/>
    <hyperlink ref="E11" r:id="rId9" xr:uid="{0CB88417-D9F0-41DC-8FCB-5A1AFFD8F4DC}"/>
    <hyperlink ref="E12" r:id="rId10" xr:uid="{9500CC00-70EF-4460-BD6D-6DE03B62894F}"/>
    <hyperlink ref="E13" r:id="rId11" xr:uid="{D58CE861-6755-408D-9320-33F619AD276A}"/>
    <hyperlink ref="E14" r:id="rId12" xr:uid="{426C376B-F7CF-4108-9D80-94CBA19E0139}"/>
    <hyperlink ref="E29" r:id="rId13" xr:uid="{69A6A0BA-80E4-47C7-A048-9C7FED0AAE34}"/>
    <hyperlink ref="E34" r:id="rId14" xr:uid="{0132785C-4C86-48C6-A3E6-A910DDFF597E}"/>
    <hyperlink ref="E40" r:id="rId15" xr:uid="{427818B9-5557-4A84-87DE-6D3AFF0D4155}"/>
    <hyperlink ref="E42" r:id="rId16" xr:uid="{8E7FD841-78DA-48CF-8D03-A880BE98C01B}"/>
    <hyperlink ref="E43" r:id="rId17" xr:uid="{1D57C312-465C-4A9B-B26B-5FD2DA31586C}"/>
    <hyperlink ref="E47" r:id="rId18" xr:uid="{3D789E65-4BA3-4654-B3E2-73402B366370}"/>
    <hyperlink ref="E49" r:id="rId19" xr:uid="{8D1E001D-98D9-4C95-A285-39FD3249EAB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71B8D-DCC5-4AD6-A3D7-75FC38F617C9}">
  <dimension ref="A1:E33"/>
  <sheetViews>
    <sheetView topLeftCell="A16" workbookViewId="0">
      <selection sqref="A1:XFD1"/>
    </sheetView>
  </sheetViews>
  <sheetFormatPr defaultRowHeight="14.5" x14ac:dyDescent="0.35"/>
  <cols>
    <col min="1" max="1" width="26.36328125" customWidth="1"/>
    <col min="2" max="2" width="54" customWidth="1"/>
    <col min="3" max="4" width="16.6328125" customWidth="1"/>
    <col min="5" max="5" width="13.453125" customWidth="1"/>
  </cols>
  <sheetData>
    <row r="1" spans="1:5" x14ac:dyDescent="0.35">
      <c r="A1" t="s">
        <v>2</v>
      </c>
      <c r="B1" t="s">
        <v>0</v>
      </c>
      <c r="C1" s="1" t="s">
        <v>414</v>
      </c>
      <c r="D1" s="1" t="s">
        <v>400</v>
      </c>
      <c r="E1" s="1" t="s">
        <v>388</v>
      </c>
    </row>
    <row r="2" spans="1:5" x14ac:dyDescent="0.35">
      <c r="A2" t="s">
        <v>420</v>
      </c>
      <c r="B2" t="s">
        <v>48</v>
      </c>
      <c r="C2" s="4">
        <v>2.2000000000000002</v>
      </c>
      <c r="D2" s="5" t="s">
        <v>387</v>
      </c>
    </row>
    <row r="3" spans="1:5" x14ac:dyDescent="0.35">
      <c r="A3" t="s">
        <v>56</v>
      </c>
      <c r="B3" t="s">
        <v>43</v>
      </c>
      <c r="C3" s="4">
        <v>2.2000000000000002</v>
      </c>
      <c r="D3" s="5" t="s">
        <v>387</v>
      </c>
    </row>
    <row r="4" spans="1:5" x14ac:dyDescent="0.35">
      <c r="A4" t="s">
        <v>69</v>
      </c>
      <c r="B4" t="s">
        <v>39</v>
      </c>
      <c r="C4" s="4">
        <v>2.2000000000000002</v>
      </c>
      <c r="D4" s="5" t="s">
        <v>387</v>
      </c>
    </row>
    <row r="5" spans="1:5" x14ac:dyDescent="0.35">
      <c r="A5" t="s">
        <v>421</v>
      </c>
      <c r="B5" t="s">
        <v>296</v>
      </c>
      <c r="C5" s="4">
        <v>2.2000000000000002</v>
      </c>
      <c r="D5" s="5" t="s">
        <v>387</v>
      </c>
    </row>
    <row r="6" spans="1:5" x14ac:dyDescent="0.35">
      <c r="A6" t="s">
        <v>422</v>
      </c>
      <c r="B6" t="s">
        <v>20</v>
      </c>
      <c r="C6" s="4">
        <v>2.2000000000000002</v>
      </c>
      <c r="D6" s="5" t="s">
        <v>387</v>
      </c>
    </row>
    <row r="7" spans="1:5" x14ac:dyDescent="0.35">
      <c r="A7" t="s">
        <v>65</v>
      </c>
      <c r="B7" t="s">
        <v>52</v>
      </c>
      <c r="C7" s="4">
        <v>2.2000000000000002</v>
      </c>
      <c r="D7" s="5" t="s">
        <v>387</v>
      </c>
    </row>
    <row r="8" spans="1:5" x14ac:dyDescent="0.35">
      <c r="A8" t="s">
        <v>35</v>
      </c>
      <c r="B8" t="s">
        <v>29</v>
      </c>
      <c r="C8" s="4">
        <v>2.2000000000000002</v>
      </c>
      <c r="D8" s="5" t="s">
        <v>387</v>
      </c>
    </row>
    <row r="9" spans="1:5" x14ac:dyDescent="0.35">
      <c r="A9" t="s">
        <v>34</v>
      </c>
      <c r="B9" t="s">
        <v>28</v>
      </c>
      <c r="C9" s="4">
        <v>2.2000000000000002</v>
      </c>
      <c r="D9" s="5" t="s">
        <v>387</v>
      </c>
    </row>
    <row r="10" spans="1:5" x14ac:dyDescent="0.35">
      <c r="A10" t="s">
        <v>33</v>
      </c>
      <c r="B10" t="s">
        <v>27</v>
      </c>
      <c r="C10" s="4">
        <v>2.2000000000000002</v>
      </c>
      <c r="D10" s="5" t="s">
        <v>387</v>
      </c>
    </row>
    <row r="11" spans="1:5" x14ac:dyDescent="0.35">
      <c r="A11" t="s">
        <v>32</v>
      </c>
      <c r="B11" t="s">
        <v>26</v>
      </c>
      <c r="C11" s="4">
        <v>2.2000000000000002</v>
      </c>
      <c r="D11" s="5" t="s">
        <v>387</v>
      </c>
    </row>
    <row r="12" spans="1:5" x14ac:dyDescent="0.35">
      <c r="A12" t="s">
        <v>68</v>
      </c>
      <c r="B12" t="s">
        <v>38</v>
      </c>
      <c r="C12" s="4">
        <v>2.2000000000000002</v>
      </c>
      <c r="D12" s="5" t="s">
        <v>387</v>
      </c>
    </row>
    <row r="13" spans="1:5" x14ac:dyDescent="0.35">
      <c r="A13" t="s">
        <v>60</v>
      </c>
      <c r="B13" t="s">
        <v>47</v>
      </c>
      <c r="C13" s="4">
        <v>2.2000000000000002</v>
      </c>
      <c r="D13" s="5" t="s">
        <v>387</v>
      </c>
    </row>
    <row r="14" spans="1:5" x14ac:dyDescent="0.35">
      <c r="A14" t="s">
        <v>55</v>
      </c>
      <c r="B14" t="s">
        <v>42</v>
      </c>
      <c r="C14" s="4">
        <v>2.2000000000000002</v>
      </c>
      <c r="D14" s="5" t="s">
        <v>387</v>
      </c>
    </row>
    <row r="15" spans="1:5" x14ac:dyDescent="0.35">
      <c r="A15" t="s">
        <v>59</v>
      </c>
      <c r="B15" t="s">
        <v>46</v>
      </c>
      <c r="C15" s="4">
        <v>2.2000000000000002</v>
      </c>
      <c r="D15" s="5" t="s">
        <v>387</v>
      </c>
    </row>
    <row r="16" spans="1:5" x14ac:dyDescent="0.35">
      <c r="A16" t="s">
        <v>191</v>
      </c>
      <c r="B16" t="s">
        <v>192</v>
      </c>
      <c r="C16" s="4">
        <v>2.2000000000000002</v>
      </c>
      <c r="D16" s="5" t="s">
        <v>387</v>
      </c>
    </row>
    <row r="17" spans="1:4" x14ac:dyDescent="0.35">
      <c r="A17" t="s">
        <v>31</v>
      </c>
      <c r="B17" t="s">
        <v>25</v>
      </c>
      <c r="C17" s="4">
        <v>2.2000000000000002</v>
      </c>
      <c r="D17" s="5" t="s">
        <v>387</v>
      </c>
    </row>
    <row r="18" spans="1:4" x14ac:dyDescent="0.35">
      <c r="A18" t="s">
        <v>193</v>
      </c>
      <c r="B18" t="s">
        <v>194</v>
      </c>
      <c r="C18" s="4">
        <v>2.2000000000000002</v>
      </c>
      <c r="D18" s="5" t="s">
        <v>387</v>
      </c>
    </row>
    <row r="19" spans="1:4" x14ac:dyDescent="0.35">
      <c r="A19" t="s">
        <v>19</v>
      </c>
      <c r="B19" t="s">
        <v>18</v>
      </c>
      <c r="C19" s="4">
        <v>2.2000000000000002</v>
      </c>
      <c r="D19" s="5" t="s">
        <v>387</v>
      </c>
    </row>
    <row r="20" spans="1:4" x14ac:dyDescent="0.35">
      <c r="A20" t="s">
        <v>195</v>
      </c>
      <c r="B20" t="s">
        <v>196</v>
      </c>
      <c r="C20" s="4">
        <v>2.2000000000000002</v>
      </c>
      <c r="D20" s="5" t="s">
        <v>387</v>
      </c>
    </row>
    <row r="21" spans="1:4" x14ac:dyDescent="0.35">
      <c r="A21" t="s">
        <v>64</v>
      </c>
      <c r="B21" t="s">
        <v>51</v>
      </c>
      <c r="C21" s="4">
        <v>2.2000000000000002</v>
      </c>
      <c r="D21" s="5" t="s">
        <v>387</v>
      </c>
    </row>
    <row r="22" spans="1:4" x14ac:dyDescent="0.35">
      <c r="A22" t="s">
        <v>67</v>
      </c>
      <c r="B22" t="s">
        <v>37</v>
      </c>
      <c r="C22" s="4">
        <v>2.2000000000000002</v>
      </c>
      <c r="D22" s="5" t="s">
        <v>387</v>
      </c>
    </row>
    <row r="23" spans="1:4" x14ac:dyDescent="0.35">
      <c r="A23" t="s">
        <v>63</v>
      </c>
      <c r="B23" t="s">
        <v>50</v>
      </c>
      <c r="C23" s="4">
        <v>2.2000000000000002</v>
      </c>
      <c r="D23" s="5" t="s">
        <v>387</v>
      </c>
    </row>
    <row r="24" spans="1:4" x14ac:dyDescent="0.35">
      <c r="A24" t="s">
        <v>58</v>
      </c>
      <c r="B24" t="s">
        <v>45</v>
      </c>
      <c r="C24" s="4">
        <v>2.2000000000000002</v>
      </c>
      <c r="D24" s="5" t="s">
        <v>387</v>
      </c>
    </row>
    <row r="25" spans="1:4" x14ac:dyDescent="0.35">
      <c r="A25" t="s">
        <v>62</v>
      </c>
      <c r="B25" t="s">
        <v>49</v>
      </c>
      <c r="C25" s="4">
        <v>2.2000000000000002</v>
      </c>
      <c r="D25" s="5" t="s">
        <v>387</v>
      </c>
    </row>
    <row r="26" spans="1:4" x14ac:dyDescent="0.35">
      <c r="A26" t="s">
        <v>54</v>
      </c>
      <c r="B26" t="s">
        <v>36</v>
      </c>
      <c r="C26" s="4">
        <v>2.2000000000000002</v>
      </c>
      <c r="D26" s="5" t="s">
        <v>387</v>
      </c>
    </row>
    <row r="27" spans="1:4" x14ac:dyDescent="0.35">
      <c r="A27" t="s">
        <v>30</v>
      </c>
      <c r="B27" t="s">
        <v>24</v>
      </c>
      <c r="C27" s="4">
        <v>2.2000000000000002</v>
      </c>
      <c r="D27" s="5" t="s">
        <v>387</v>
      </c>
    </row>
    <row r="28" spans="1:4" x14ac:dyDescent="0.35">
      <c r="A28" t="s">
        <v>423</v>
      </c>
      <c r="B28" t="s">
        <v>297</v>
      </c>
      <c r="C28" s="4">
        <v>2.2000000000000002</v>
      </c>
      <c r="D28" s="5" t="s">
        <v>387</v>
      </c>
    </row>
    <row r="29" spans="1:4" x14ac:dyDescent="0.35">
      <c r="A29" t="s">
        <v>66</v>
      </c>
      <c r="B29" t="s">
        <v>53</v>
      </c>
      <c r="C29" s="4">
        <v>2.2000000000000002</v>
      </c>
      <c r="D29" s="5" t="s">
        <v>387</v>
      </c>
    </row>
    <row r="30" spans="1:4" x14ac:dyDescent="0.35">
      <c r="A30" t="s">
        <v>23</v>
      </c>
      <c r="B30" t="s">
        <v>22</v>
      </c>
      <c r="C30" s="4">
        <v>2.2000000000000002</v>
      </c>
      <c r="D30" s="5" t="s">
        <v>387</v>
      </c>
    </row>
    <row r="31" spans="1:4" x14ac:dyDescent="0.35">
      <c r="A31" t="s">
        <v>57</v>
      </c>
      <c r="B31" t="s">
        <v>44</v>
      </c>
      <c r="C31" s="4">
        <v>2.2000000000000002</v>
      </c>
      <c r="D31" s="5" t="s">
        <v>387</v>
      </c>
    </row>
    <row r="32" spans="1:4" x14ac:dyDescent="0.35">
      <c r="A32" t="s">
        <v>424</v>
      </c>
      <c r="B32" t="s">
        <v>298</v>
      </c>
      <c r="C32" s="4">
        <v>2.2000000000000002</v>
      </c>
      <c r="D32" s="5" t="s">
        <v>387</v>
      </c>
    </row>
    <row r="33" spans="1:4" x14ac:dyDescent="0.35">
      <c r="A33" t="s">
        <v>299</v>
      </c>
      <c r="B33" t="s">
        <v>299</v>
      </c>
      <c r="C33" s="4">
        <v>2.2000000000000002</v>
      </c>
      <c r="D33" s="5" t="s">
        <v>387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51B4-EDFB-4C38-B57A-F4CB2073C487}">
  <dimension ref="A1:E15"/>
  <sheetViews>
    <sheetView workbookViewId="0">
      <selection activeCell="B22" sqref="B22"/>
    </sheetView>
  </sheetViews>
  <sheetFormatPr defaultRowHeight="14.5" x14ac:dyDescent="0.35"/>
  <cols>
    <col min="1" max="1" width="20.54296875" customWidth="1"/>
    <col min="2" max="2" width="71.7265625" customWidth="1"/>
    <col min="3" max="3" width="14.26953125" customWidth="1"/>
    <col min="4" max="4" width="15.36328125" customWidth="1"/>
    <col min="5" max="5" width="32.81640625" customWidth="1"/>
  </cols>
  <sheetData>
    <row r="1" spans="1:5" x14ac:dyDescent="0.35">
      <c r="A1" t="s">
        <v>2</v>
      </c>
      <c r="B1" t="s">
        <v>0</v>
      </c>
      <c r="C1" s="1" t="s">
        <v>414</v>
      </c>
      <c r="D1" s="1" t="s">
        <v>400</v>
      </c>
      <c r="E1" s="1" t="s">
        <v>388</v>
      </c>
    </row>
    <row r="2" spans="1:5" x14ac:dyDescent="0.35">
      <c r="A2" t="s">
        <v>373</v>
      </c>
      <c r="B2" t="s">
        <v>300</v>
      </c>
      <c r="C2" s="4">
        <v>2.2000000000000002</v>
      </c>
      <c r="D2" s="8" t="s">
        <v>419</v>
      </c>
    </row>
    <row r="3" spans="1:5" x14ac:dyDescent="0.35">
      <c r="A3" t="s">
        <v>374</v>
      </c>
      <c r="B3" t="s">
        <v>301</v>
      </c>
      <c r="C3" s="4">
        <v>2.2000000000000002</v>
      </c>
      <c r="D3" s="8" t="s">
        <v>419</v>
      </c>
    </row>
    <row r="4" spans="1:5" x14ac:dyDescent="0.35">
      <c r="A4" t="s">
        <v>375</v>
      </c>
      <c r="B4" t="s">
        <v>302</v>
      </c>
      <c r="C4" s="4">
        <v>2.2000000000000002</v>
      </c>
      <c r="D4" s="8" t="s">
        <v>419</v>
      </c>
    </row>
    <row r="5" spans="1:5" x14ac:dyDescent="0.35">
      <c r="A5" t="s">
        <v>376</v>
      </c>
      <c r="B5" t="s">
        <v>303</v>
      </c>
      <c r="C5" s="4">
        <v>2.2000000000000002</v>
      </c>
      <c r="D5" s="8" t="s">
        <v>419</v>
      </c>
    </row>
    <row r="6" spans="1:5" x14ac:dyDescent="0.35">
      <c r="A6" t="s">
        <v>377</v>
      </c>
      <c r="B6" t="s">
        <v>304</v>
      </c>
      <c r="C6" s="4">
        <v>2.2000000000000002</v>
      </c>
      <c r="D6" s="8" t="s">
        <v>419</v>
      </c>
    </row>
    <row r="7" spans="1:5" x14ac:dyDescent="0.35">
      <c r="A7" t="s">
        <v>378</v>
      </c>
      <c r="B7" t="s">
        <v>305</v>
      </c>
      <c r="C7" s="4">
        <v>2.2000000000000002</v>
      </c>
      <c r="D7" s="8" t="s">
        <v>419</v>
      </c>
    </row>
    <row r="8" spans="1:5" x14ac:dyDescent="0.35">
      <c r="A8" t="s">
        <v>379</v>
      </c>
      <c r="B8" t="s">
        <v>306</v>
      </c>
      <c r="C8" s="4">
        <v>2.2000000000000002</v>
      </c>
      <c r="D8" s="8" t="s">
        <v>419</v>
      </c>
    </row>
    <row r="9" spans="1:5" x14ac:dyDescent="0.35">
      <c r="A9" t="s">
        <v>380</v>
      </c>
      <c r="B9" t="s">
        <v>307</v>
      </c>
      <c r="C9" s="4">
        <v>2.2000000000000002</v>
      </c>
      <c r="D9" s="8" t="s">
        <v>419</v>
      </c>
    </row>
    <row r="10" spans="1:5" x14ac:dyDescent="0.35">
      <c r="A10" t="s">
        <v>381</v>
      </c>
      <c r="B10" t="s">
        <v>308</v>
      </c>
      <c r="C10" s="4">
        <v>2.2000000000000002</v>
      </c>
      <c r="D10" s="8" t="s">
        <v>419</v>
      </c>
    </row>
    <row r="11" spans="1:5" x14ac:dyDescent="0.35">
      <c r="A11" t="s">
        <v>382</v>
      </c>
      <c r="B11" t="s">
        <v>309</v>
      </c>
      <c r="C11" s="4">
        <v>2.2000000000000002</v>
      </c>
      <c r="D11" s="8" t="s">
        <v>419</v>
      </c>
    </row>
    <row r="12" spans="1:5" x14ac:dyDescent="0.35">
      <c r="A12" t="s">
        <v>383</v>
      </c>
      <c r="B12" t="s">
        <v>310</v>
      </c>
      <c r="C12" s="4">
        <v>2.2000000000000002</v>
      </c>
      <c r="D12" s="8" t="s">
        <v>419</v>
      </c>
    </row>
    <row r="13" spans="1:5" x14ac:dyDescent="0.35">
      <c r="A13" t="s">
        <v>384</v>
      </c>
      <c r="B13" t="s">
        <v>311</v>
      </c>
      <c r="C13" s="4">
        <v>2.2000000000000002</v>
      </c>
      <c r="D13" s="8" t="s">
        <v>419</v>
      </c>
    </row>
    <row r="14" spans="1:5" x14ac:dyDescent="0.35">
      <c r="A14" t="s">
        <v>385</v>
      </c>
      <c r="B14" t="s">
        <v>312</v>
      </c>
      <c r="C14" s="4">
        <v>2.2000000000000002</v>
      </c>
      <c r="D14" s="8" t="s">
        <v>419</v>
      </c>
    </row>
    <row r="15" spans="1:5" x14ac:dyDescent="0.35">
      <c r="D15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4DFB7-9117-4230-B8F2-3EA41BFCEEE9}">
  <dimension ref="A1:E69"/>
  <sheetViews>
    <sheetView workbookViewId="0">
      <selection activeCell="H10" sqref="H10"/>
    </sheetView>
  </sheetViews>
  <sheetFormatPr defaultRowHeight="14.5" x14ac:dyDescent="0.35"/>
  <cols>
    <col min="1" max="1" width="30.90625" customWidth="1"/>
    <col min="2" max="2" width="56" customWidth="1"/>
    <col min="3" max="3" width="16.81640625" customWidth="1"/>
    <col min="4" max="4" width="12" customWidth="1"/>
  </cols>
  <sheetData>
    <row r="1" spans="1:5" x14ac:dyDescent="0.35">
      <c r="A1" t="s">
        <v>2</v>
      </c>
      <c r="B1" t="s">
        <v>0</v>
      </c>
      <c r="C1" s="1" t="s">
        <v>414</v>
      </c>
      <c r="D1" s="1" t="s">
        <v>400</v>
      </c>
      <c r="E1" s="1" t="s">
        <v>388</v>
      </c>
    </row>
    <row r="2" spans="1:5" x14ac:dyDescent="0.35">
      <c r="B2" t="s">
        <v>314</v>
      </c>
      <c r="C2" s="3">
        <f>1.5+0.15</f>
        <v>1.65</v>
      </c>
    </row>
    <row r="3" spans="1:5" x14ac:dyDescent="0.35">
      <c r="B3" t="s">
        <v>313</v>
      </c>
      <c r="C3" s="3">
        <f t="shared" ref="C3:C66" si="0">1.5+0.15</f>
        <v>1.65</v>
      </c>
    </row>
    <row r="4" spans="1:5" x14ac:dyDescent="0.35">
      <c r="B4" t="s">
        <v>315</v>
      </c>
      <c r="C4" s="3">
        <f t="shared" si="0"/>
        <v>1.65</v>
      </c>
    </row>
    <row r="5" spans="1:5" x14ac:dyDescent="0.35">
      <c r="B5" t="s">
        <v>316</v>
      </c>
      <c r="C5" s="3">
        <f t="shared" si="0"/>
        <v>1.65</v>
      </c>
    </row>
    <row r="6" spans="1:5" x14ac:dyDescent="0.35">
      <c r="B6" t="s">
        <v>317</v>
      </c>
      <c r="C6" s="3">
        <f t="shared" si="0"/>
        <v>1.65</v>
      </c>
    </row>
    <row r="7" spans="1:5" x14ac:dyDescent="0.35">
      <c r="B7" t="s">
        <v>318</v>
      </c>
      <c r="C7" s="3">
        <f t="shared" si="0"/>
        <v>1.65</v>
      </c>
    </row>
    <row r="8" spans="1:5" x14ac:dyDescent="0.35">
      <c r="B8" t="s">
        <v>319</v>
      </c>
      <c r="C8" s="3">
        <f t="shared" si="0"/>
        <v>1.65</v>
      </c>
    </row>
    <row r="9" spans="1:5" x14ac:dyDescent="0.35">
      <c r="B9" t="s">
        <v>320</v>
      </c>
      <c r="C9" s="3">
        <f t="shared" si="0"/>
        <v>1.65</v>
      </c>
    </row>
    <row r="10" spans="1:5" x14ac:dyDescent="0.35">
      <c r="B10" t="s">
        <v>321</v>
      </c>
      <c r="C10" s="3">
        <f t="shared" si="0"/>
        <v>1.65</v>
      </c>
    </row>
    <row r="11" spans="1:5" x14ac:dyDescent="0.35">
      <c r="B11" t="s">
        <v>322</v>
      </c>
      <c r="C11" s="3">
        <f t="shared" si="0"/>
        <v>1.65</v>
      </c>
    </row>
    <row r="12" spans="1:5" x14ac:dyDescent="0.35">
      <c r="B12" t="s">
        <v>323</v>
      </c>
      <c r="C12" s="3">
        <f t="shared" si="0"/>
        <v>1.65</v>
      </c>
    </row>
    <row r="13" spans="1:5" x14ac:dyDescent="0.35">
      <c r="B13" t="s">
        <v>324</v>
      </c>
      <c r="C13" s="3">
        <f t="shared" si="0"/>
        <v>1.65</v>
      </c>
    </row>
    <row r="14" spans="1:5" x14ac:dyDescent="0.35">
      <c r="B14" t="s">
        <v>325</v>
      </c>
      <c r="C14" s="3">
        <f t="shared" si="0"/>
        <v>1.65</v>
      </c>
    </row>
    <row r="15" spans="1:5" x14ac:dyDescent="0.35">
      <c r="B15" t="s">
        <v>326</v>
      </c>
      <c r="C15" s="3">
        <f t="shared" si="0"/>
        <v>1.65</v>
      </c>
    </row>
    <row r="16" spans="1:5" x14ac:dyDescent="0.35">
      <c r="B16" t="s">
        <v>327</v>
      </c>
      <c r="C16" s="3">
        <f t="shared" si="0"/>
        <v>1.65</v>
      </c>
    </row>
    <row r="17" spans="2:3" x14ac:dyDescent="0.35">
      <c r="B17" t="s">
        <v>328</v>
      </c>
      <c r="C17" s="3">
        <f t="shared" si="0"/>
        <v>1.65</v>
      </c>
    </row>
    <row r="18" spans="2:3" x14ac:dyDescent="0.35">
      <c r="B18" t="s">
        <v>329</v>
      </c>
      <c r="C18" s="3">
        <f t="shared" si="0"/>
        <v>1.65</v>
      </c>
    </row>
    <row r="19" spans="2:3" x14ac:dyDescent="0.35">
      <c r="B19" t="s">
        <v>330</v>
      </c>
      <c r="C19" s="3">
        <f t="shared" si="0"/>
        <v>1.65</v>
      </c>
    </row>
    <row r="20" spans="2:3" x14ac:dyDescent="0.35">
      <c r="B20" t="s">
        <v>331</v>
      </c>
      <c r="C20" s="3">
        <f t="shared" si="0"/>
        <v>1.65</v>
      </c>
    </row>
    <row r="21" spans="2:3" x14ac:dyDescent="0.35">
      <c r="B21" t="s">
        <v>332</v>
      </c>
      <c r="C21" s="3">
        <f t="shared" si="0"/>
        <v>1.65</v>
      </c>
    </row>
    <row r="22" spans="2:3" x14ac:dyDescent="0.35">
      <c r="B22" t="s">
        <v>333</v>
      </c>
      <c r="C22" s="3">
        <f t="shared" si="0"/>
        <v>1.65</v>
      </c>
    </row>
    <row r="23" spans="2:3" x14ac:dyDescent="0.35">
      <c r="B23" t="s">
        <v>334</v>
      </c>
      <c r="C23" s="3">
        <f t="shared" si="0"/>
        <v>1.65</v>
      </c>
    </row>
    <row r="24" spans="2:3" x14ac:dyDescent="0.35">
      <c r="B24" t="s">
        <v>335</v>
      </c>
      <c r="C24" s="3">
        <f t="shared" si="0"/>
        <v>1.65</v>
      </c>
    </row>
    <row r="25" spans="2:3" x14ac:dyDescent="0.35">
      <c r="B25" t="s">
        <v>336</v>
      </c>
      <c r="C25" s="3">
        <f t="shared" si="0"/>
        <v>1.65</v>
      </c>
    </row>
    <row r="26" spans="2:3" x14ac:dyDescent="0.35">
      <c r="B26" t="s">
        <v>337</v>
      </c>
      <c r="C26" s="3">
        <f t="shared" si="0"/>
        <v>1.65</v>
      </c>
    </row>
    <row r="27" spans="2:3" x14ac:dyDescent="0.35">
      <c r="B27" t="s">
        <v>338</v>
      </c>
      <c r="C27" s="3">
        <f t="shared" si="0"/>
        <v>1.65</v>
      </c>
    </row>
    <row r="28" spans="2:3" x14ac:dyDescent="0.35">
      <c r="B28" t="s">
        <v>339</v>
      </c>
      <c r="C28" s="3">
        <f t="shared" si="0"/>
        <v>1.65</v>
      </c>
    </row>
    <row r="29" spans="2:3" x14ac:dyDescent="0.35">
      <c r="B29" t="s">
        <v>340</v>
      </c>
      <c r="C29" s="3">
        <f t="shared" si="0"/>
        <v>1.65</v>
      </c>
    </row>
    <row r="30" spans="2:3" x14ac:dyDescent="0.35">
      <c r="B30" t="s">
        <v>341</v>
      </c>
      <c r="C30" s="3">
        <f t="shared" si="0"/>
        <v>1.65</v>
      </c>
    </row>
    <row r="31" spans="2:3" x14ac:dyDescent="0.35">
      <c r="B31" t="s">
        <v>342</v>
      </c>
      <c r="C31" s="3">
        <f t="shared" si="0"/>
        <v>1.65</v>
      </c>
    </row>
    <row r="32" spans="2:3" x14ac:dyDescent="0.35">
      <c r="B32" t="s">
        <v>343</v>
      </c>
      <c r="C32" s="3">
        <f t="shared" si="0"/>
        <v>1.65</v>
      </c>
    </row>
    <row r="33" spans="2:3" x14ac:dyDescent="0.35">
      <c r="B33" t="s">
        <v>344</v>
      </c>
      <c r="C33" s="3">
        <f t="shared" si="0"/>
        <v>1.65</v>
      </c>
    </row>
    <row r="34" spans="2:3" x14ac:dyDescent="0.35">
      <c r="B34" t="s">
        <v>346</v>
      </c>
      <c r="C34" s="3">
        <f t="shared" si="0"/>
        <v>1.65</v>
      </c>
    </row>
    <row r="35" spans="2:3" x14ac:dyDescent="0.35">
      <c r="B35" t="s">
        <v>345</v>
      </c>
      <c r="C35" s="3">
        <f t="shared" si="0"/>
        <v>1.65</v>
      </c>
    </row>
    <row r="36" spans="2:3" x14ac:dyDescent="0.35">
      <c r="B36" t="s">
        <v>347</v>
      </c>
      <c r="C36" s="3">
        <f t="shared" si="0"/>
        <v>1.65</v>
      </c>
    </row>
    <row r="37" spans="2:3" x14ac:dyDescent="0.35">
      <c r="B37" t="s">
        <v>348</v>
      </c>
      <c r="C37" s="3">
        <f t="shared" si="0"/>
        <v>1.65</v>
      </c>
    </row>
    <row r="38" spans="2:3" x14ac:dyDescent="0.35">
      <c r="B38" t="s">
        <v>349</v>
      </c>
      <c r="C38" s="3">
        <f t="shared" si="0"/>
        <v>1.65</v>
      </c>
    </row>
    <row r="39" spans="2:3" x14ac:dyDescent="0.35">
      <c r="B39" t="s">
        <v>350</v>
      </c>
      <c r="C39" s="3">
        <f t="shared" si="0"/>
        <v>1.65</v>
      </c>
    </row>
    <row r="40" spans="2:3" x14ac:dyDescent="0.35">
      <c r="B40" t="s">
        <v>351</v>
      </c>
      <c r="C40" s="3">
        <f t="shared" si="0"/>
        <v>1.65</v>
      </c>
    </row>
    <row r="41" spans="2:3" x14ac:dyDescent="0.35">
      <c r="B41" t="s">
        <v>352</v>
      </c>
      <c r="C41" s="3">
        <f t="shared" si="0"/>
        <v>1.65</v>
      </c>
    </row>
    <row r="42" spans="2:3" x14ac:dyDescent="0.35">
      <c r="B42" t="s">
        <v>353</v>
      </c>
      <c r="C42" s="3">
        <f t="shared" si="0"/>
        <v>1.65</v>
      </c>
    </row>
    <row r="43" spans="2:3" x14ac:dyDescent="0.35">
      <c r="B43" t="s">
        <v>354</v>
      </c>
      <c r="C43" s="3">
        <f t="shared" si="0"/>
        <v>1.65</v>
      </c>
    </row>
    <row r="44" spans="2:3" x14ac:dyDescent="0.35">
      <c r="B44" t="s">
        <v>355</v>
      </c>
      <c r="C44" s="3">
        <f t="shared" si="0"/>
        <v>1.65</v>
      </c>
    </row>
    <row r="45" spans="2:3" x14ac:dyDescent="0.35">
      <c r="B45" t="s">
        <v>356</v>
      </c>
      <c r="C45" s="3">
        <f t="shared" si="0"/>
        <v>1.65</v>
      </c>
    </row>
    <row r="46" spans="2:3" x14ac:dyDescent="0.35">
      <c r="B46" t="s">
        <v>357</v>
      </c>
      <c r="C46" s="3">
        <f t="shared" si="0"/>
        <v>1.65</v>
      </c>
    </row>
    <row r="47" spans="2:3" x14ac:dyDescent="0.35">
      <c r="B47" t="s">
        <v>358</v>
      </c>
      <c r="C47" s="3">
        <f t="shared" si="0"/>
        <v>1.65</v>
      </c>
    </row>
    <row r="48" spans="2:3" x14ac:dyDescent="0.35">
      <c r="B48" t="s">
        <v>359</v>
      </c>
      <c r="C48" s="3">
        <f t="shared" si="0"/>
        <v>1.65</v>
      </c>
    </row>
    <row r="49" spans="2:3" x14ac:dyDescent="0.35">
      <c r="B49" t="s">
        <v>360</v>
      </c>
      <c r="C49" s="3">
        <f t="shared" si="0"/>
        <v>1.65</v>
      </c>
    </row>
    <row r="50" spans="2:3" x14ac:dyDescent="0.35">
      <c r="B50" t="s">
        <v>361</v>
      </c>
      <c r="C50" s="3">
        <f t="shared" si="0"/>
        <v>1.65</v>
      </c>
    </row>
    <row r="51" spans="2:3" x14ac:dyDescent="0.35">
      <c r="B51" t="s">
        <v>362</v>
      </c>
      <c r="C51" s="3">
        <f t="shared" si="0"/>
        <v>1.65</v>
      </c>
    </row>
    <row r="52" spans="2:3" x14ac:dyDescent="0.35">
      <c r="B52" t="s">
        <v>363</v>
      </c>
      <c r="C52" s="3">
        <f t="shared" si="0"/>
        <v>1.65</v>
      </c>
    </row>
    <row r="53" spans="2:3" x14ac:dyDescent="0.35">
      <c r="B53" t="s">
        <v>364</v>
      </c>
      <c r="C53" s="3">
        <f t="shared" si="0"/>
        <v>1.65</v>
      </c>
    </row>
    <row r="54" spans="2:3" x14ac:dyDescent="0.35">
      <c r="B54" t="s">
        <v>365</v>
      </c>
      <c r="C54" s="3">
        <f t="shared" si="0"/>
        <v>1.65</v>
      </c>
    </row>
    <row r="55" spans="2:3" x14ac:dyDescent="0.35">
      <c r="B55" t="s">
        <v>366</v>
      </c>
      <c r="C55" s="3">
        <f t="shared" si="0"/>
        <v>1.65</v>
      </c>
    </row>
    <row r="56" spans="2:3" x14ac:dyDescent="0.35">
      <c r="B56" t="s">
        <v>367</v>
      </c>
      <c r="C56" s="3">
        <f t="shared" si="0"/>
        <v>1.65</v>
      </c>
    </row>
    <row r="57" spans="2:3" x14ac:dyDescent="0.35">
      <c r="B57" t="s">
        <v>368</v>
      </c>
      <c r="C57" s="3">
        <f t="shared" si="0"/>
        <v>1.65</v>
      </c>
    </row>
    <row r="58" spans="2:3" x14ac:dyDescent="0.35">
      <c r="B58" t="s">
        <v>369</v>
      </c>
      <c r="C58" s="3">
        <f t="shared" si="0"/>
        <v>1.65</v>
      </c>
    </row>
    <row r="59" spans="2:3" x14ac:dyDescent="0.35">
      <c r="B59" t="s">
        <v>370</v>
      </c>
      <c r="C59" s="3">
        <f t="shared" si="0"/>
        <v>1.65</v>
      </c>
    </row>
    <row r="60" spans="2:3" x14ac:dyDescent="0.35">
      <c r="B60" t="s">
        <v>371</v>
      </c>
      <c r="C60" s="3">
        <f t="shared" si="0"/>
        <v>1.65</v>
      </c>
    </row>
    <row r="61" spans="2:3" x14ac:dyDescent="0.35">
      <c r="B61" t="s">
        <v>372</v>
      </c>
      <c r="C61" s="3">
        <f t="shared" si="0"/>
        <v>1.65</v>
      </c>
    </row>
    <row r="62" spans="2:3" x14ac:dyDescent="0.35">
      <c r="B62" t="s">
        <v>442</v>
      </c>
      <c r="C62" s="3">
        <f t="shared" si="0"/>
        <v>1.65</v>
      </c>
    </row>
    <row r="63" spans="2:3" x14ac:dyDescent="0.35">
      <c r="B63" t="s">
        <v>443</v>
      </c>
      <c r="C63" s="3">
        <f t="shared" si="0"/>
        <v>1.65</v>
      </c>
    </row>
    <row r="64" spans="2:3" x14ac:dyDescent="0.35">
      <c r="B64" t="s">
        <v>444</v>
      </c>
      <c r="C64" s="3">
        <f t="shared" si="0"/>
        <v>1.65</v>
      </c>
    </row>
    <row r="65" spans="2:3" x14ac:dyDescent="0.35">
      <c r="B65" t="s">
        <v>445</v>
      </c>
      <c r="C65" s="3">
        <f t="shared" si="0"/>
        <v>1.65</v>
      </c>
    </row>
    <row r="66" spans="2:3" x14ac:dyDescent="0.35">
      <c r="B66" t="s">
        <v>446</v>
      </c>
      <c r="C66" s="3">
        <f t="shared" si="0"/>
        <v>1.65</v>
      </c>
    </row>
    <row r="67" spans="2:3" x14ac:dyDescent="0.35">
      <c r="B67" t="s">
        <v>447</v>
      </c>
      <c r="C67" s="3">
        <f t="shared" ref="C67:C69" si="1">1.5+0.15</f>
        <v>1.65</v>
      </c>
    </row>
    <row r="68" spans="2:3" x14ac:dyDescent="0.35">
      <c r="B68" t="s">
        <v>448</v>
      </c>
      <c r="C68" s="3">
        <f t="shared" si="1"/>
        <v>1.65</v>
      </c>
    </row>
    <row r="69" spans="2:3" x14ac:dyDescent="0.35">
      <c r="B69" t="s">
        <v>449</v>
      </c>
      <c r="C69" s="3">
        <f t="shared" si="1"/>
        <v>1.65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F2F37-7688-4CED-A8EA-61E6B2A13A81}">
  <dimension ref="A1:E59"/>
  <sheetViews>
    <sheetView topLeftCell="A13" workbookViewId="0">
      <selection activeCell="D44" sqref="D44"/>
    </sheetView>
  </sheetViews>
  <sheetFormatPr defaultRowHeight="14.5" x14ac:dyDescent="0.35"/>
  <cols>
    <col min="1" max="1" width="21.90625" customWidth="1"/>
    <col min="2" max="2" width="32.81640625" customWidth="1"/>
    <col min="3" max="3" width="19.08984375" customWidth="1"/>
    <col min="4" max="4" width="17.90625" customWidth="1"/>
  </cols>
  <sheetData>
    <row r="1" spans="1:5" x14ac:dyDescent="0.35">
      <c r="A1" t="s">
        <v>2</v>
      </c>
      <c r="B1" t="s">
        <v>0</v>
      </c>
      <c r="C1" t="s">
        <v>76</v>
      </c>
      <c r="D1" s="1" t="s">
        <v>386</v>
      </c>
      <c r="E1" s="1" t="s">
        <v>1</v>
      </c>
    </row>
    <row r="2" spans="1:5" x14ac:dyDescent="0.35">
      <c r="B2" t="s">
        <v>477</v>
      </c>
      <c r="D2" s="7">
        <v>2.2000000000000002</v>
      </c>
    </row>
    <row r="3" spans="1:5" x14ac:dyDescent="0.35">
      <c r="B3" t="s">
        <v>497</v>
      </c>
      <c r="D3" s="7">
        <v>2.2000000000000002</v>
      </c>
    </row>
    <row r="4" spans="1:5" x14ac:dyDescent="0.35">
      <c r="B4" t="s">
        <v>478</v>
      </c>
      <c r="D4" s="7">
        <v>2.2000000000000002</v>
      </c>
    </row>
    <row r="5" spans="1:5" x14ac:dyDescent="0.35">
      <c r="B5" t="s">
        <v>498</v>
      </c>
      <c r="D5" s="7">
        <v>2.2000000000000002</v>
      </c>
    </row>
    <row r="6" spans="1:5" x14ac:dyDescent="0.35">
      <c r="B6" t="s">
        <v>479</v>
      </c>
      <c r="D6" s="7">
        <v>2.2000000000000002</v>
      </c>
    </row>
    <row r="7" spans="1:5" x14ac:dyDescent="0.35">
      <c r="B7" t="s">
        <v>499</v>
      </c>
      <c r="D7" s="7">
        <v>2.2000000000000002</v>
      </c>
    </row>
    <row r="8" spans="1:5" x14ac:dyDescent="0.35">
      <c r="B8" t="s">
        <v>480</v>
      </c>
      <c r="D8" s="7">
        <v>2.2000000000000002</v>
      </c>
    </row>
    <row r="9" spans="1:5" x14ac:dyDescent="0.35">
      <c r="B9" t="s">
        <v>500</v>
      </c>
      <c r="D9" s="7">
        <v>2.2000000000000002</v>
      </c>
    </row>
    <row r="10" spans="1:5" x14ac:dyDescent="0.35">
      <c r="B10" t="s">
        <v>481</v>
      </c>
      <c r="D10" s="7">
        <v>2.2000000000000002</v>
      </c>
    </row>
    <row r="11" spans="1:5" x14ac:dyDescent="0.35">
      <c r="B11" t="s">
        <v>501</v>
      </c>
      <c r="D11" s="7">
        <v>2.2000000000000002</v>
      </c>
    </row>
    <row r="12" spans="1:5" x14ac:dyDescent="0.35">
      <c r="B12" t="s">
        <v>482</v>
      </c>
      <c r="D12" s="7">
        <v>2.2000000000000002</v>
      </c>
    </row>
    <row r="13" spans="1:5" x14ac:dyDescent="0.35">
      <c r="B13" t="s">
        <v>502</v>
      </c>
      <c r="D13" s="7">
        <v>2.2000000000000002</v>
      </c>
    </row>
    <row r="14" spans="1:5" x14ac:dyDescent="0.35">
      <c r="B14" t="s">
        <v>483</v>
      </c>
      <c r="D14" s="7">
        <v>2.2000000000000002</v>
      </c>
    </row>
    <row r="15" spans="1:5" x14ac:dyDescent="0.35">
      <c r="B15" t="s">
        <v>503</v>
      </c>
      <c r="D15" s="7">
        <v>2.2000000000000002</v>
      </c>
    </row>
    <row r="16" spans="1:5" x14ac:dyDescent="0.35">
      <c r="B16" t="s">
        <v>484</v>
      </c>
      <c r="D16" s="7">
        <v>2.2000000000000002</v>
      </c>
    </row>
    <row r="17" spans="2:4" x14ac:dyDescent="0.35">
      <c r="B17" t="s">
        <v>504</v>
      </c>
      <c r="D17" s="7">
        <v>2.2000000000000002</v>
      </c>
    </row>
    <row r="18" spans="2:4" x14ac:dyDescent="0.35">
      <c r="B18" t="s">
        <v>485</v>
      </c>
      <c r="D18" s="7">
        <v>2.2000000000000002</v>
      </c>
    </row>
    <row r="19" spans="2:4" x14ac:dyDescent="0.35">
      <c r="B19" t="s">
        <v>505</v>
      </c>
      <c r="D19" s="7">
        <v>2.2000000000000002</v>
      </c>
    </row>
    <row r="20" spans="2:4" x14ac:dyDescent="0.35">
      <c r="B20" t="s">
        <v>486</v>
      </c>
      <c r="D20" s="7">
        <v>2.2000000000000002</v>
      </c>
    </row>
    <row r="21" spans="2:4" x14ac:dyDescent="0.35">
      <c r="B21" t="s">
        <v>506</v>
      </c>
      <c r="D21" s="7">
        <v>2.2000000000000002</v>
      </c>
    </row>
    <row r="22" spans="2:4" x14ac:dyDescent="0.35">
      <c r="B22" t="s">
        <v>487</v>
      </c>
      <c r="D22" s="7">
        <v>2.2000000000000002</v>
      </c>
    </row>
    <row r="23" spans="2:4" x14ac:dyDescent="0.35">
      <c r="B23" t="s">
        <v>507</v>
      </c>
      <c r="D23" s="7">
        <v>2.2000000000000002</v>
      </c>
    </row>
    <row r="24" spans="2:4" x14ac:dyDescent="0.35">
      <c r="B24" t="s">
        <v>488</v>
      </c>
      <c r="D24" s="7">
        <v>2.2000000000000002</v>
      </c>
    </row>
    <row r="25" spans="2:4" x14ac:dyDescent="0.35">
      <c r="B25" t="s">
        <v>508</v>
      </c>
      <c r="D25" s="7">
        <v>2.2000000000000002</v>
      </c>
    </row>
    <row r="26" spans="2:4" x14ac:dyDescent="0.35">
      <c r="B26" t="s">
        <v>489</v>
      </c>
      <c r="D26" s="7">
        <v>2.2000000000000002</v>
      </c>
    </row>
    <row r="27" spans="2:4" x14ac:dyDescent="0.35">
      <c r="B27" t="s">
        <v>509</v>
      </c>
      <c r="D27" s="7">
        <v>2.2000000000000002</v>
      </c>
    </row>
    <row r="28" spans="2:4" x14ac:dyDescent="0.35">
      <c r="B28" t="s">
        <v>490</v>
      </c>
      <c r="D28" s="7">
        <v>2.2000000000000002</v>
      </c>
    </row>
    <row r="29" spans="2:4" x14ac:dyDescent="0.35">
      <c r="B29" t="s">
        <v>510</v>
      </c>
      <c r="D29" s="7">
        <v>2.2000000000000002</v>
      </c>
    </row>
    <row r="30" spans="2:4" x14ac:dyDescent="0.35">
      <c r="B30" t="s">
        <v>491</v>
      </c>
      <c r="D30" s="7">
        <v>2.2000000000000002</v>
      </c>
    </row>
    <row r="31" spans="2:4" x14ac:dyDescent="0.35">
      <c r="B31" t="s">
        <v>511</v>
      </c>
      <c r="D31" s="7">
        <v>2.2000000000000002</v>
      </c>
    </row>
    <row r="32" spans="2:4" x14ac:dyDescent="0.35">
      <c r="B32" t="s">
        <v>492</v>
      </c>
      <c r="D32" s="7">
        <v>2.2000000000000002</v>
      </c>
    </row>
    <row r="33" spans="2:4" x14ac:dyDescent="0.35">
      <c r="B33" t="s">
        <v>512</v>
      </c>
      <c r="D33" s="7">
        <v>2.2000000000000002</v>
      </c>
    </row>
    <row r="34" spans="2:4" x14ac:dyDescent="0.35">
      <c r="B34" t="s">
        <v>493</v>
      </c>
      <c r="D34" s="7">
        <v>2.2000000000000002</v>
      </c>
    </row>
    <row r="35" spans="2:4" x14ac:dyDescent="0.35">
      <c r="B35" t="s">
        <v>513</v>
      </c>
      <c r="D35" s="7">
        <v>2.2000000000000002</v>
      </c>
    </row>
    <row r="36" spans="2:4" x14ac:dyDescent="0.35">
      <c r="B36" t="s">
        <v>494</v>
      </c>
      <c r="D36" s="7">
        <v>2.2000000000000002</v>
      </c>
    </row>
    <row r="37" spans="2:4" x14ac:dyDescent="0.35">
      <c r="B37" t="s">
        <v>514</v>
      </c>
      <c r="D37" s="7">
        <v>2.2000000000000002</v>
      </c>
    </row>
    <row r="38" spans="2:4" x14ac:dyDescent="0.35">
      <c r="B38" t="s">
        <v>495</v>
      </c>
      <c r="D38" s="7">
        <v>2.2000000000000002</v>
      </c>
    </row>
    <row r="39" spans="2:4" x14ac:dyDescent="0.35">
      <c r="B39" t="s">
        <v>515</v>
      </c>
      <c r="D39" s="7">
        <v>2.2000000000000002</v>
      </c>
    </row>
    <row r="40" spans="2:4" x14ac:dyDescent="0.35">
      <c r="B40" t="s">
        <v>496</v>
      </c>
      <c r="D40" s="7">
        <v>2.2000000000000002</v>
      </c>
    </row>
    <row r="41" spans="2:4" x14ac:dyDescent="0.35">
      <c r="B41" t="s">
        <v>516</v>
      </c>
      <c r="D41" s="7">
        <v>2.2000000000000002</v>
      </c>
    </row>
    <row r="42" spans="2:4" x14ac:dyDescent="0.35">
      <c r="D42" s="7"/>
    </row>
    <row r="43" spans="2:4" x14ac:dyDescent="0.35">
      <c r="D43" s="7">
        <f>SUM(D2:D42)</f>
        <v>88.000000000000057</v>
      </c>
    </row>
    <row r="44" spans="2:4" x14ac:dyDescent="0.35">
      <c r="D44" s="7"/>
    </row>
    <row r="45" spans="2:4" x14ac:dyDescent="0.35">
      <c r="D45" s="7"/>
    </row>
    <row r="46" spans="2:4" x14ac:dyDescent="0.35">
      <c r="D46" s="7"/>
    </row>
    <row r="47" spans="2:4" x14ac:dyDescent="0.35">
      <c r="D47" s="7"/>
    </row>
    <row r="48" spans="2:4" x14ac:dyDescent="0.35">
      <c r="D48" s="7"/>
    </row>
    <row r="49" spans="4:4" x14ac:dyDescent="0.35">
      <c r="D49" s="7"/>
    </row>
    <row r="50" spans="4:4" x14ac:dyDescent="0.35">
      <c r="D50" s="7"/>
    </row>
    <row r="51" spans="4:4" x14ac:dyDescent="0.35">
      <c r="D51" s="7"/>
    </row>
    <row r="52" spans="4:4" x14ac:dyDescent="0.35">
      <c r="D52" s="7"/>
    </row>
    <row r="53" spans="4:4" x14ac:dyDescent="0.35">
      <c r="D53" s="7"/>
    </row>
    <row r="54" spans="4:4" x14ac:dyDescent="0.35">
      <c r="D54" s="7"/>
    </row>
    <row r="55" spans="4:4" x14ac:dyDescent="0.35">
      <c r="D55" s="7"/>
    </row>
    <row r="56" spans="4:4" x14ac:dyDescent="0.35">
      <c r="D56" s="7"/>
    </row>
    <row r="57" spans="4:4" x14ac:dyDescent="0.35">
      <c r="D57" s="7"/>
    </row>
    <row r="58" spans="4:4" x14ac:dyDescent="0.35">
      <c r="D58" s="7"/>
    </row>
    <row r="59" spans="4:4" x14ac:dyDescent="0.35">
      <c r="D59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6248-B94B-4FD9-99DA-C461C059E7C5}">
  <dimension ref="A1:E23"/>
  <sheetViews>
    <sheetView workbookViewId="0">
      <selection activeCell="C22" sqref="C22"/>
    </sheetView>
  </sheetViews>
  <sheetFormatPr defaultRowHeight="14.5" x14ac:dyDescent="0.35"/>
  <cols>
    <col min="1" max="1" width="31.6328125" customWidth="1"/>
    <col min="2" max="2" width="48.453125" customWidth="1"/>
    <col min="3" max="3" width="20.54296875" customWidth="1"/>
    <col min="4" max="4" width="15.453125" customWidth="1"/>
    <col min="5" max="5" width="24.26953125" customWidth="1"/>
  </cols>
  <sheetData>
    <row r="1" spans="1:5" x14ac:dyDescent="0.35">
      <c r="A1" t="s">
        <v>2</v>
      </c>
      <c r="B1" t="s">
        <v>0</v>
      </c>
      <c r="C1" s="1" t="s">
        <v>414</v>
      </c>
      <c r="D1" s="1" t="s">
        <v>400</v>
      </c>
      <c r="E1" s="1" t="s">
        <v>388</v>
      </c>
    </row>
    <row r="2" spans="1:5" x14ac:dyDescent="0.35">
      <c r="B2" t="s">
        <v>426</v>
      </c>
      <c r="C2" s="4">
        <v>2.2000000000000002</v>
      </c>
      <c r="D2" s="8" t="s">
        <v>419</v>
      </c>
    </row>
    <row r="3" spans="1:5" x14ac:dyDescent="0.35">
      <c r="B3" t="s">
        <v>427</v>
      </c>
      <c r="C3" s="4">
        <v>2.2000000000000002</v>
      </c>
      <c r="D3" s="8" t="s">
        <v>419</v>
      </c>
    </row>
    <row r="4" spans="1:5" x14ac:dyDescent="0.35">
      <c r="B4" t="s">
        <v>428</v>
      </c>
      <c r="C4" s="4">
        <v>2.2000000000000002</v>
      </c>
      <c r="D4" s="8" t="s">
        <v>419</v>
      </c>
    </row>
    <row r="5" spans="1:5" x14ac:dyDescent="0.35">
      <c r="B5" t="s">
        <v>429</v>
      </c>
      <c r="C5" s="4">
        <v>2.2000000000000002</v>
      </c>
      <c r="D5" s="8" t="s">
        <v>419</v>
      </c>
    </row>
    <row r="6" spans="1:5" x14ac:dyDescent="0.35">
      <c r="B6" t="s">
        <v>430</v>
      </c>
      <c r="C6" s="4">
        <v>2.2000000000000002</v>
      </c>
      <c r="D6" s="8" t="s">
        <v>419</v>
      </c>
    </row>
    <row r="7" spans="1:5" x14ac:dyDescent="0.35">
      <c r="B7" t="s">
        <v>431</v>
      </c>
      <c r="C7" s="4">
        <v>2.2000000000000002</v>
      </c>
      <c r="D7" s="8" t="s">
        <v>419</v>
      </c>
    </row>
    <row r="8" spans="1:5" x14ac:dyDescent="0.35">
      <c r="B8" t="s">
        <v>432</v>
      </c>
      <c r="C8" s="4">
        <v>2.2000000000000002</v>
      </c>
      <c r="D8" s="8" t="s">
        <v>419</v>
      </c>
    </row>
    <row r="9" spans="1:5" x14ac:dyDescent="0.35">
      <c r="B9" t="s">
        <v>433</v>
      </c>
      <c r="C9" s="4">
        <v>2.2000000000000002</v>
      </c>
      <c r="D9" s="8" t="s">
        <v>419</v>
      </c>
    </row>
    <row r="10" spans="1:5" x14ac:dyDescent="0.35">
      <c r="B10" t="s">
        <v>434</v>
      </c>
      <c r="C10" s="4">
        <v>2.2000000000000002</v>
      </c>
      <c r="D10" s="8" t="s">
        <v>419</v>
      </c>
    </row>
    <row r="11" spans="1:5" x14ac:dyDescent="0.35">
      <c r="B11" t="s">
        <v>435</v>
      </c>
      <c r="C11" s="4">
        <v>2.2000000000000002</v>
      </c>
      <c r="D11" s="8" t="s">
        <v>419</v>
      </c>
    </row>
    <row r="12" spans="1:5" x14ac:dyDescent="0.35">
      <c r="B12" t="s">
        <v>436</v>
      </c>
      <c r="C12" s="4">
        <v>2.2000000000000002</v>
      </c>
      <c r="D12" s="8" t="s">
        <v>419</v>
      </c>
    </row>
    <row r="13" spans="1:5" x14ac:dyDescent="0.35">
      <c r="B13" t="s">
        <v>437</v>
      </c>
      <c r="C13" s="4">
        <v>2.2000000000000002</v>
      </c>
      <c r="D13" s="8" t="s">
        <v>419</v>
      </c>
    </row>
    <row r="14" spans="1:5" x14ac:dyDescent="0.35">
      <c r="B14" t="s">
        <v>438</v>
      </c>
      <c r="C14" s="4">
        <v>2.2000000000000002</v>
      </c>
      <c r="D14" s="8" t="s">
        <v>419</v>
      </c>
    </row>
    <row r="15" spans="1:5" x14ac:dyDescent="0.35">
      <c r="B15" t="s">
        <v>439</v>
      </c>
      <c r="C15" s="4">
        <v>2.2000000000000002</v>
      </c>
      <c r="D15" s="8" t="s">
        <v>419</v>
      </c>
    </row>
    <row r="16" spans="1:5" x14ac:dyDescent="0.35">
      <c r="B16" t="s">
        <v>440</v>
      </c>
      <c r="C16" s="4">
        <v>2.2000000000000002</v>
      </c>
      <c r="D16" s="8" t="s">
        <v>419</v>
      </c>
    </row>
    <row r="17" spans="2:4" x14ac:dyDescent="0.35">
      <c r="B17" t="s">
        <v>441</v>
      </c>
      <c r="C17" s="4">
        <v>2.2000000000000002</v>
      </c>
      <c r="D17" s="8" t="s">
        <v>419</v>
      </c>
    </row>
    <row r="18" spans="2:4" x14ac:dyDescent="0.35">
      <c r="C18" s="4">
        <f>SUM(C2:C17)</f>
        <v>35.199999999999996</v>
      </c>
    </row>
    <row r="19" spans="2:4" x14ac:dyDescent="0.35">
      <c r="C19" s="4"/>
    </row>
    <row r="20" spans="2:4" x14ac:dyDescent="0.35">
      <c r="C20" s="4"/>
    </row>
    <row r="21" spans="2:4" x14ac:dyDescent="0.35">
      <c r="C21" s="4"/>
    </row>
    <row r="22" spans="2:4" x14ac:dyDescent="0.35">
      <c r="C22" s="4"/>
    </row>
    <row r="23" spans="2:4" x14ac:dyDescent="0.35">
      <c r="C23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EA16-336E-4323-849C-574EB98751F8}">
  <dimension ref="A1"/>
  <sheetViews>
    <sheetView topLeftCell="A13" workbookViewId="0">
      <selection sqref="A1:XFD36"/>
    </sheetView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DE62-8BAB-47A2-8985-B4C882575BFE}">
  <dimension ref="A1"/>
  <sheetViews>
    <sheetView workbookViewId="0">
      <selection activeCell="L14" sqref="L14"/>
    </sheetView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D757-4304-41AF-A36C-05E1949D2692}">
  <dimension ref="A1"/>
  <sheetViews>
    <sheetView workbookViewId="0">
      <selection activeCell="K14" sqref="K14"/>
    </sheetView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5170-6B29-46CB-BEB6-37C9A973DD05}">
  <dimension ref="A1"/>
  <sheetViews>
    <sheetView workbookViewId="0">
      <selection activeCell="M14" sqref="M14"/>
    </sheetView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6428-B204-48CD-93A2-6D3714CF6260}">
  <dimension ref="A1"/>
  <sheetViews>
    <sheetView topLeftCell="A28" workbookViewId="0">
      <selection activeCell="H10" sqref="H10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Bundles</vt:lpstr>
      <vt:lpstr>WHS</vt:lpstr>
      <vt:lpstr>Environmental</vt:lpstr>
      <vt:lpstr>Project Management WHS</vt:lpstr>
      <vt:lpstr>Generic Toolbox</vt:lpstr>
      <vt:lpstr>Leadership Toolbox</vt:lpstr>
      <vt:lpstr>Carpentry &amp; Building</vt:lpstr>
      <vt:lpstr>Construction</vt:lpstr>
      <vt:lpstr>Councils &amp; Government</vt:lpstr>
      <vt:lpstr>Ecological &amp; Environmental</vt:lpstr>
      <vt:lpstr>Farming Operation</vt:lpstr>
      <vt:lpstr>Lawn and Garden Maintenace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Dooley</dc:creator>
  <cp:lastModifiedBy>Aaron Dooley</cp:lastModifiedBy>
  <dcterms:created xsi:type="dcterms:W3CDTF">2026-06-22T23:15:25Z</dcterms:created>
  <dcterms:modified xsi:type="dcterms:W3CDTF">2026-07-17T01:11:45Z</dcterms:modified>
</cp:coreProperties>
</file>